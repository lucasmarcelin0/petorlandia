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c7431b9b3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5a3d1178dd949ea"/>
    <x:sheet xmlns:r="http://schemas.openxmlformats.org/officeDocument/2006/relationships" name="Config Robson" sheetId="2" r:id="Rb96f085d3c724e01"/>
    <x:sheet xmlns:r="http://schemas.openxmlformats.org/officeDocument/2006/relationships" name="Clinicas" sheetId="3" r:id="Re92434c484ad4d20"/>
    <x:sheet xmlns:r="http://schemas.openxmlformats.org/officeDocument/2006/relationships" name="Lancamentos" sheetId="4" r:id="R292d32067b4d4fdc"/>
    <x:sheet xmlns:r="http://schemas.openxmlformats.org/officeDocument/2006/relationships" name="Notas emitidas" sheetId="5" r:id="R8148288f09c3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dd/mm/yyyy"/>
    <x:numFmt numFmtId="202" formatCode="R$ #,##0.00"/>
    <x:numFmt numFmtId="203" formatCode="0"/>
  </x:numFmts>
  <x:fonts count="4">
    <x:font>
      <x:sz val="11"/>
      <x:name val="Carlito"/>
    </x:font>
    <x:font>
      <x:b/>
      <x:sz val="11"/>
      <x:name val="Carlito"/>
    </x:font>
    <x:font>
      <x:sz val="11"/>
      <x:color rgb="111827"/>
      <x:name val="Carlito"/>
    </x:font>
    <x:font>
      <x:b/>
      <x:sz val="11"/>
      <x:color rgb="17324D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4881a9eae402c" /><Relationship Type="http://schemas.openxmlformats.org/officeDocument/2006/relationships/theme" Target="/xl/theme/theme1.xml" Id="R25f9131483014218" /><Relationship Type="http://schemas.openxmlformats.org/officeDocument/2006/relationships/sharedStrings" Target="/xl/sharedStrings.xml" Id="R951ba179169c4bc1" /><Relationship Type="http://schemas.openxmlformats.org/officeDocument/2006/relationships/worksheet" Target="/xl/worksheets/sheet1.xml" Id="Ra5a3d1178dd949ea" /><Relationship Type="http://schemas.openxmlformats.org/officeDocument/2006/relationships/worksheet" Target="/xl/worksheets/sheet2.xml" Id="Rb96f085d3c724e01" /><Relationship Type="http://schemas.openxmlformats.org/officeDocument/2006/relationships/worksheet" Target="/xl/worksheets/sheet3.xml" Id="Re92434c484ad4d20" /><Relationship Type="http://schemas.openxmlformats.org/officeDocument/2006/relationships/worksheet" Target="/xl/worksheets/sheet4.xml" Id="R292d32067b4d4fdc" /><Relationship Type="http://schemas.openxmlformats.org/officeDocument/2006/relationships/worksheet" Target="/xl/worksheets/sheet5.xml" Id="R8148288f09c340d0" /></Relationships>
</file>

<file path=xl/tables/table1.xml><?xml version="1.0" encoding="utf-8"?>
<x:table xmlns:x="http://schemas.openxmlformats.org/spreadsheetml/2006/main" id="1" name="TabelaClinicas" displayName="TabelaClinicas" ref="A3:R205" headerRowCount="1">
  <x:tableColumns count="18">
    <x:tableColumn id="1" name="ID"/>
    <x:tableColumn id="2" name="Razao social"/>
    <x:tableColumn id="3" name="Nome fantasia"/>
    <x:tableColumn id="4" name="CNPJ"/>
    <x:tableColumn id="5" name="Inscricao municipal"/>
    <x:tableColumn id="6" name="Endereco"/>
    <x:tableColumn id="7" name="Numero"/>
    <x:tableColumn id="8" name="Complemento"/>
    <x:tableColumn id="9" name="Bairro"/>
    <x:tableColumn id="10" name="CEP"/>
    <x:tableColumn id="11" name="Municipio"/>
    <x:tableColumn id="12" name="UF"/>
    <x:tableColumn id="13" name="E-mail nota"/>
    <x:tableColumn id="14" name="Contato"/>
    <x:tableColumn id="15" name="Telefone/WhatsApp"/>
    <x:tableColumn id="16" name="Retem ISS?"/>
    <x:tableColumn id="17" name="Aliquota ISS %"/>
    <x:tableColumn id="18" name="Observacoes"/>
  </x:tableColumns>
  <x:tableStyleInfo name="TableStyleMedium2" showRowStripes="1"/>
</x:table>
</file>

<file path=xl/tables/table2.xml><?xml version="1.0" encoding="utf-8"?>
<x:table xmlns:x="http://schemas.openxmlformats.org/spreadsheetml/2006/main" id="2" name="TabelaLancamentos" displayName="TabelaLancamentos" ref="A3:O205" headerRowCount="1">
  <x:tableColumns count="15">
    <x:tableColumn id="1" name="Data Pix/Servico"/>
    <x:tableColumn id="2" name="Clinica ID"/>
    <x:tableColumn id="3" name="Clinica"/>
    <x:tableColumn id="4" name="CNPJ"/>
    <x:tableColumn id="5" name="Qtd exames"/>
    <x:tableColumn id="6" name="Valor total"/>
    <x:tableColumn id="7" name="Valor unit."/>
    <x:tableColumn id="8" name="Descricao base"/>
    <x:tableColumn id="9" name="Descricao sugerida NFS-e"/>
    <x:tableColumn id="10" name="Competencia"/>
    <x:tableColumn id="11" name="Status nota"/>
    <x:tableColumn id="12" name="Numero NFS-e"/>
    <x:tableColumn id="13" name="ISS retido?"/>
    <x:tableColumn id="14" name="E-mail nota"/>
    <x:tableColumn id="15" name="Observacoes"/>
  </x:tableColumns>
  <x:tableStyleInfo name="TableStyleMedium2" showRowStripes="1"/>
</x:table>
</file>

<file path=xl/tables/table3.xml><?xml version="1.0" encoding="utf-8"?>
<x:table xmlns:x="http://schemas.openxmlformats.org/spreadsheetml/2006/main" id="3" name="TabelaNotas" displayName="TabelaNotas" ref="A3:K205" headerRowCount="1">
  <x:tableColumns count="11">
    <x:tableColumn id="1" name="Numero NFS-e"/>
    <x:tableColumn id="2" name="Data emissao"/>
    <x:tableColumn id="3" name="Competencia"/>
    <x:tableColumn id="4" name="Clinica ID"/>
    <x:tableColumn id="5" name="Clinica"/>
    <x:tableColumn id="6" name="CNPJ"/>
    <x:tableColumn id="7" name="Qtd exames"/>
    <x:tableColumn id="8" name="Valor"/>
    <x:tableColumn id="9" name="ISS retido?"/>
    <x:tableColumn id="10" name="Status"/>
    <x:tableColumn id="11" name="Observac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c25411e8c7b4d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77c47600c9443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573f5d9892844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6.81999969482422" hidden="0" customWidth="1"/>
    <x:col min="3" max="3" width="3.359999895095825" hidden="0" customWidth="1"/>
    <x:col min="4" max="4" width="14.130000114440918" hidden="0" customWidth="1"/>
    <x:col min="5" max="5" width="16.81999969482422" hidden="0" customWidth="1"/>
    <x:col min="6" max="6" width="15.479999542236328" hidden="0" customWidth="1"/>
    <x:col min="7" max="7" width="15.479999542236328" hidden="0" customWidth="1"/>
    <x:col min="8" max="8" width="15.479999542236328" hidden="0" customWidth="1"/>
  </x:cols>
  <x:sheetData>
    <x:row r="1">
      <x:c r="A1" s="1" t="str">
        <x:v>Controle de NFS-e - Robson</x:v>
      </x:c>
      <x:c r="B1" s="1" t="str">
        <x:v>Controle de NFS-e - Robson</x:v>
      </x:c>
      <x:c r="C1" s="1" t="str">
        <x:v>Controle de NFS-e - Robson</x:v>
      </x:c>
      <x:c r="D1" s="1" t="str">
        <x:v>Controle de NFS-e - Robson</x:v>
      </x:c>
      <x:c r="E1" s="1" t="str">
        <x:v>Controle de NFS-e - Robson</x:v>
      </x:c>
      <x:c r="F1" s="1" t="str">
        <x:v>Controle de NFS-e - Robson</x:v>
      </x:c>
      <x:c r="G1" s="1" t="str">
        <x:v>Controle de NFS-e - Robson</x:v>
      </x:c>
      <x:c r="H1" s="1" t="str">
        <x:v>Controle de NFS-e - Robson</x:v>
      </x:c>
    </x:row>
    <x:row r="3">
      <x:c r="A3" s="2" t="str">
        <x:v>Indicador</x:v>
      </x:c>
      <x:c r="B3" s="2" t="str">
        <x:v>Valor</x:v>
      </x:c>
      <x:c r="D3" s="2" t="str">
        <x:v>Status</x:v>
      </x:c>
      <x:c r="E3" s="2" t="str">
        <x:v>Valor</x:v>
      </x:c>
    </x:row>
    <x:row r="4">
      <x:c r="A4" s="3" t="str">
        <x:v>Valor lancado</x:v>
      </x:c>
      <x:c r="B4" s="6" t="n">
        <x:f>SUM(Lancamentos!$F$4:$F$205)</x:f>
        <x:v>170</x:v>
      </x:c>
      <x:c r="D4" s="3" t="str">
        <x:v>Pendente</x:v>
      </x:c>
      <x:c r="E4" s="6" t="n">
        <x:f>SUMIF(Lancamentos!$K$4:$K$205,D4,Lancamentos!$F$4:$F$205)</x:f>
        <x:v>170</x:v>
      </x:c>
    </x:row>
    <x:row r="5">
      <x:c r="A5" s="3" t="str">
        <x:v>Valor pendente</x:v>
      </x:c>
      <x:c r="B5" s="6" t="n">
        <x:f>SUMIF(Lancamentos!$K$4:$K$205,"Pendente",Lancamentos!$F$4:$F$205)</x:f>
        <x:v>170</x:v>
      </x:c>
      <x:c r="D5" s="3" t="str">
        <x:v>Emitida</x:v>
      </x:c>
      <x:c r="E5" s="6" t="n">
        <x:f>SUMIF(Lancamentos!$K$4:$K$205,D5,Lancamentos!$F$4:$F$205)</x:f>
        <x:v>0</x:v>
      </x:c>
    </x:row>
    <x:row r="6">
      <x:c r="A6" s="3" t="str">
        <x:v>Valor emitido</x:v>
      </x:c>
      <x:c r="B6" s="6" t="n">
        <x:f>SUMIF(Lancamentos!$K$4:$K$205,"Emitida",Lancamentos!$F$4:$F$205)</x:f>
        <x:v>0</x:v>
      </x:c>
      <x:c r="D6" s="3" t="str">
        <x:v>Conferir</x:v>
      </x:c>
      <x:c r="E6" s="6" t="n">
        <x:f>SUMIF(Lancamentos!$K$4:$K$205,D6,Lancamentos!$F$4:$F$205)</x:f>
        <x:v>0</x:v>
      </x:c>
    </x:row>
    <x:row r="7">
      <x:c r="A7" s="3" t="str">
        <x:v>Notas pendentes</x:v>
      </x:c>
      <x:c r="B7" s="7" t="n">
        <x:f>COUNTIFS(Lancamentos!$K$4:$K$205,"Pendente",Lancamentos!$A$4:$A$205,"&gt;0")</x:f>
        <x:v>1</x:v>
      </x:c>
    </x:row>
    <x:row r="8">
      <x:c r="A8" s="3" t="str">
        <x:v>Clinicas cadastradas</x:v>
      </x:c>
      <x:c r="B8" s="7" t="n">
        <x:f>SUMPRODUCT(--(Clinicas!$B$4:$B$205&lt;&gt;""))</x:f>
        <x:v>1</x:v>
      </x:c>
    </x:row>
    <x:row r="10">
      <x:c r="A10" s="11" t="str">
        <x:v>Fluxo sugerido</x:v>
      </x:c>
      <x:c r="B10" s="10" t="str"/>
      <x:c r="C10" s="10" t="str"/>
      <x:c r="D10" s="10" t="str"/>
      <x:c r="E10" s="10" t="str"/>
      <x:c r="F10" s="10" t="str"/>
      <x:c r="G10" s="10" t="str"/>
      <x:c r="H10" s="10" t="str"/>
    </x:row>
    <x:row r="11">
      <x:c r="A11" s="10" t="str">
        <x:v>1. Cadastrar a clinica uma vez na aba Clinicas.</x:v>
      </x:c>
      <x:c r="B11" s="10" t="str"/>
      <x:c r="C11" s="10" t="str"/>
      <x:c r="D11" s="10" t="str"/>
      <x:c r="E11" s="10" t="str"/>
      <x:c r="F11" s="10" t="str"/>
      <x:c r="G11" s="10" t="str"/>
      <x:c r="H11" s="10" t="str"/>
    </x:row>
    <x:row r="12">
      <x:c r="A12" s="10" t="str">
        <x:v>2. Em Lancamentos, escolher o ID da clinica, data do Pix, quantidade e valor.</x:v>
      </x:c>
      <x:c r="B12" s="10" t="str"/>
      <x:c r="C12" s="10" t="str"/>
      <x:c r="D12" s="10" t="str"/>
      <x:c r="E12" s="10" t="str"/>
      <x:c r="F12" s="10" t="str"/>
      <x:c r="G12" s="10" t="str"/>
      <x:c r="H12" s="10" t="str"/>
    </x:row>
    <x:row r="13">
      <x:c r="A13" s="10" t="str">
        <x:v>3. Copiar a descricao sugerida para o emissor da NFS-e.</x:v>
      </x:c>
      <x:c r="B13" s="10" t="str"/>
      <x:c r="C13" s="10" t="str"/>
      <x:c r="D13" s="10" t="str"/>
      <x:c r="E13" s="10" t="str"/>
      <x:c r="F13" s="10" t="str"/>
      <x:c r="G13" s="10" t="str"/>
      <x:c r="H13" s="10" t="str"/>
    </x:row>
    <x:row r="14">
      <x:c r="A14" s="10" t="str">
        <x:v>4. Depois de emitir, marcar Status nota como Emitida e preencher o numero da NFS-e.</x:v>
      </x:c>
      <x:c r="B14" s="10" t="str"/>
      <x:c r="C14" s="10" t="str"/>
      <x:c r="D14" s="10" t="str"/>
      <x:c r="E14" s="10" t="str"/>
      <x:c r="F14" s="10" t="str"/>
      <x:c r="G14" s="10" t="str"/>
      <x:c r="H14" s="10" t="str"/>
    </x:row>
    <x:row r="15">
      <x:c r="A15" s="10" t="str">
        <x:v>5. Conferir ISS retido e codigo de servico uma vez com contador/PBH antes de padronizar.</x:v>
      </x:c>
      <x:c r="B15" s="10" t="str"/>
      <x:c r="C15" s="10" t="str"/>
      <x:c r="D15" s="10" t="str"/>
      <x:c r="E15" s="10" t="str"/>
      <x:c r="F15" s="10" t="str"/>
      <x:c r="G15" s="10" t="str"/>
      <x:c r="H15" s="10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</x:row>
  </x:sheetData>
  <x:mergeCells>
    <x:mergeCell ref="A1:H1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32.970001220703125" hidden="0" customWidth="1"/>
    <x:col min="3" max="3" width="12.789999961853027" hidden="0" customWidth="1"/>
    <x:col min="4" max="4" width="57.20000076293945" hidden="0" customWidth="1"/>
  </x:cols>
  <x:sheetData>
    <x:row r="1">
      <x:c r="A1" s="1" t="str">
        <x:v>Config Robson</x:v>
      </x:c>
      <x:c r="B1" s="1" t="str">
        <x:v>Config Robson</x:v>
      </x:c>
      <x:c r="C1" s="1" t="str">
        <x:v>Config Robson</x:v>
      </x:c>
      <x:c r="D1" s="1" t="str">
        <x:v>Config Robson</x:v>
      </x:c>
    </x:row>
    <x:row r="3">
      <x:c r="A3" s="2" t="str">
        <x:v>Campo</x:v>
      </x:c>
      <x:c r="B3" s="2" t="str">
        <x:v>Valor</x:v>
      </x:c>
      <x:c r="C3" s="2" t="str">
        <x:v>Status</x:v>
      </x:c>
      <x:c r="D3" s="2" t="str">
        <x:v>Observacao</x:v>
      </x:c>
    </x:row>
    <x:row r="4">
      <x:c r="A4" s="3" t="str">
        <x:v>Prestador</x:v>
      </x:c>
      <x:c r="B4" s="3" t="str">
        <x:v>RS SERVICOS VETERINARIOS</x:v>
      </x:c>
      <x:c r="C4" s="3" t="str">
        <x:v>Ok</x:v>
      </x:c>
      <x:c r="D4" s="3" t="str">
        <x:v>Nome comercial no comprovante Pix</x:v>
      </x:c>
    </x:row>
    <x:row r="5">
      <x:c r="A5" s="3" t="str">
        <x:v>CNPJ prestador</x:v>
      </x:c>
      <x:c r="B5" s="3" t="str">
        <x:v>50.721.798/0001-39</x:v>
      </x:c>
      <x:c r="C5" s="3" t="str">
        <x:v>Ok</x:v>
      </x:c>
      <x:c r="D5" s="3" t="str">
        <x:v>Confirmar se este CNPJ esta cadastrado em Belo Horizonte</x:v>
      </x:c>
    </x:row>
    <x:row r="6">
      <x:c r="A6" s="3" t="str">
        <x:v>Municipio prestador</x:v>
      </x:c>
      <x:c r="B6" s="3" t="str">
        <x:v>Belo Horizonte/MG</x:v>
      </x:c>
      <x:c r="C6" s="3" t="str">
        <x:v>Ok</x:v>
      </x:c>
      <x:c r="D6" s="3" t="str">
        <x:v>Usar o municipio do cadastro fiscal do prestador</x:v>
      </x:c>
    </x:row>
    <x:row r="7">
      <x:c r="A7" s="3" t="str">
        <x:v>Inscricao municipal</x:v>
      </x:c>
      <x:c r="B7" s="3" t="str"/>
      <x:c r="C7" s="3" t="str">
        <x:v>Pendente</x:v>
      </x:c>
      <x:c r="D7" s="3" t="str">
        <x:v>Preencher antes da emissao se o emissor da PBH exigir</x:v>
      </x:c>
    </x:row>
    <x:row r="8">
      <x:c r="A8" s="3" t="str">
        <x:v>Sistema de emissao</x:v>
      </x:c>
      <x:c r="B8" s="3" t="str"/>
      <x:c r="C8" s="3" t="str">
        <x:v>Pendente</x:v>
      </x:c>
      <x:c r="D8" s="3" t="str">
        <x:v>Confirmar se emite pela PBH/BHISS ou pelo Emissor Nacional</x:v>
      </x:c>
    </x:row>
    <x:row r="9">
      <x:c r="A9" s="3" t="str">
        <x:v>Codigo de servico padrao</x:v>
      </x:c>
      <x:c r="B9" s="3" t="str">
        <x:v>5.01 ou 5.02</x:v>
      </x:c>
      <x:c r="C9" s="3" t="str">
        <x:v>Conferir</x:v>
      </x:c>
      <x:c r="D9" s="3" t="str">
        <x:v>Confirmar no cadastro fiscal: veterinario autônomo/empresa ou clinica/ambulatorio</x:v>
      </x:c>
    </x:row>
    <x:row r="10">
      <x:c r="A10" s="3" t="str">
        <x:v>Descricao padrao</x:v>
      </x:c>
      <x:c r="B10" s="3" t="str">
        <x:v>Exames de ultrassonografia veterinaria</x:v>
      </x:c>
      <x:c r="C10" s="3" t="str">
        <x:v>Ok</x:v>
      </x:c>
      <x:c r="D10" s="3" t="str">
        <x:v>Pode ser ajustada por nota</x:v>
      </x:c>
    </x:row>
    <x:row r="11">
      <x:c r="A11" s="3" t="str">
        <x:v>Competencia padrao</x:v>
      </x:c>
      <x:c r="B11" s="3" t="str">
        <x:v>Data do Pix</x:v>
      </x:c>
      <x:c r="C11" s="3" t="str">
        <x:v>Ok</x:v>
      </x:c>
      <x:c r="D11" s="3" t="str">
        <x:v>Usar a data do pagamento quando ela coincide com o servico</x:v>
      </x:c>
    </x:row>
    <x:row r="12">
      <x:c r="A12" s="3" t="str">
        <x:v>ISS retido</x:v>
      </x:c>
      <x:c r="B12" s="3" t="str">
        <x:v>Confirmar por clinica</x:v>
      </x:c>
      <x:c r="C12" s="3" t="str">
        <x:v>Conferir</x:v>
      </x:c>
      <x:c r="D12" s="3" t="str">
        <x:v>Marcar no cadastro da clinica se houver retencao</x:v>
      </x:c>
    </x:row>
    <x:row r="13">
      <x:c r="A13" s="3" t="str">
        <x:v>Tomadores recorrentes</x:v>
      </x:c>
      <x:c r="B13" s="3" t="str">
        <x:v>Cadastrar uma vez na aba Clinicas</x:v>
      </x:c>
      <x:c r="C13" s="3" t="str">
        <x:v>Ok</x:v>
      </x:c>
      <x:c r="D13" s="3" t="str">
        <x:v>Depois escolher pelo ID na aba Lancamentos</x:v>
      </x:c>
    </x:row>
    <x:row r="14">
      <x:c r="A14" s="3" t="str">
        <x:v>Primeiro comprovante</x:v>
      </x:c>
      <x:c r="B14" s="3" t="str">
        <x:v>Pix de R$ 170,00 em 05/05/2026</x:v>
      </x:c>
      <x:c r="C14" s="3" t="str">
        <x:v>Ok</x:v>
      </x:c>
      <x:c r="D14" s="3" t="str">
        <x:v>Tomador Annatachi Botelho Jardim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2.970001220703125" hidden="0" customWidth="1"/>
    <x:col min="3" max="3" width="22.209999084472656" hidden="0" customWidth="1"/>
    <x:col min="4" max="4" width="18.84000015258789" hidden="0" customWidth="1"/>
    <x:col min="5" max="5" width="17.5" hidden="0" customWidth="1"/>
    <x:col min="6" max="6" width="28.940000534057617" hidden="0" customWidth="1"/>
    <x:col min="7" max="7" width="11.4399995803833" hidden="0" customWidth="1"/>
    <x:col min="8" max="8" width="11.4399995803833" hidden="0" customWidth="1"/>
    <x:col min="9" max="9" width="16.81999969482422" hidden="0" customWidth="1"/>
    <x:col min="10" max="10" width="11.4399995803833" hidden="0" customWidth="1"/>
    <x:col min="11" max="11" width="16.81999969482422" hidden="0" customWidth="1"/>
    <x:col min="12" max="12" width="6.730000019073486" hidden="0" customWidth="1"/>
    <x:col min="13" max="13" width="27.59000015258789" hidden="0" customWidth="1"/>
    <x:col min="14" max="14" width="17.5" hidden="0" customWidth="1"/>
    <x:col min="15" max="15" width="17.5" hidden="0" customWidth="1"/>
    <x:col min="16" max="16" width="12.109999656677246" hidden="0" customWidth="1"/>
    <x:col min="17" max="17" width="12.109999656677246" hidden="0" customWidth="1"/>
    <x:col min="18" max="18" width="31.6299991607666" hidden="0" customWidth="1"/>
  </x:cols>
  <x:sheetData>
    <x:row r="1">
      <x:c r="A1" s="1" t="str">
        <x:v>Cadastro de Clinicas</x:v>
      </x:c>
      <x:c r="B1" s="1" t="str">
        <x:v>Cadastro de Clinicas</x:v>
      </x:c>
      <x:c r="C1" s="1" t="str">
        <x:v>Cadastro de Clinicas</x:v>
      </x:c>
      <x:c r="D1" s="1" t="str">
        <x:v>Cadastro de Clinicas</x:v>
      </x:c>
      <x:c r="E1" s="1" t="str">
        <x:v>Cadastro de Clinicas</x:v>
      </x:c>
      <x:c r="F1" s="1" t="str">
        <x:v>Cadastro de Clinicas</x:v>
      </x:c>
      <x:c r="G1" s="1" t="str">
        <x:v>Cadastro de Clinicas</x:v>
      </x:c>
      <x:c r="H1" s="1" t="str">
        <x:v>Cadastro de Clinicas</x:v>
      </x:c>
      <x:c r="I1" s="1" t="str">
        <x:v>Cadastro de Clinicas</x:v>
      </x:c>
      <x:c r="J1" s="1" t="str">
        <x:v>Cadastro de Clinicas</x:v>
      </x:c>
      <x:c r="K1" s="1" t="str">
        <x:v>Cadastro de Clinicas</x:v>
      </x:c>
      <x:c r="L1" s="1" t="str">
        <x:v>Cadastro de Clinicas</x:v>
      </x:c>
      <x:c r="M1" s="1" t="str">
        <x:v>Cadastro de Clinicas</x:v>
      </x:c>
      <x:c r="N1" s="1" t="str">
        <x:v>Cadastro de Clinicas</x:v>
      </x:c>
      <x:c r="O1" s="1" t="str">
        <x:v>Cadastro de Clinicas</x:v>
      </x:c>
      <x:c r="P1" s="1" t="str">
        <x:v>Cadastro de Clinicas</x:v>
      </x:c>
      <x:c r="Q1" s="1" t="str">
        <x:v>Cadastro de Clinicas</x:v>
      </x:c>
      <x:c r="R1" s="1" t="str">
        <x:v>Cadastro de Clinicas</x:v>
      </x:c>
    </x:row>
    <x:row r="3">
      <x:c r="A3" s="2" t="str">
        <x:v>ID</x:v>
      </x:c>
      <x:c r="B3" s="2" t="str">
        <x:v>Razao social</x:v>
      </x:c>
      <x:c r="C3" s="2" t="str">
        <x:v>Nome fantasia</x:v>
      </x:c>
      <x:c r="D3" s="2" t="str">
        <x:v>CNPJ</x:v>
      </x:c>
      <x:c r="E3" s="2" t="str">
        <x:v>Inscricao municipal</x:v>
      </x:c>
      <x:c r="F3" s="2" t="str">
        <x:v>Endereco</x:v>
      </x:c>
      <x:c r="G3" s="2" t="str">
        <x:v>Numero</x:v>
      </x:c>
      <x:c r="H3" s="2" t="str">
        <x:v>Complemento</x:v>
      </x:c>
      <x:c r="I3" s="2" t="str">
        <x:v>Bairro</x:v>
      </x:c>
      <x:c r="J3" s="2" t="str">
        <x:v>CEP</x:v>
      </x:c>
      <x:c r="K3" s="2" t="str">
        <x:v>Municipio</x:v>
      </x:c>
      <x:c r="L3" s="2" t="str">
        <x:v>UF</x:v>
      </x:c>
      <x:c r="M3" s="2" t="str">
        <x:v>E-mail nota</x:v>
      </x:c>
      <x:c r="N3" s="2" t="str">
        <x:v>Contato</x:v>
      </x:c>
      <x:c r="O3" s="2" t="str">
        <x:v>Telefone/WhatsApp</x:v>
      </x:c>
      <x:c r="P3" s="2" t="str">
        <x:v>Retem ISS?</x:v>
      </x:c>
      <x:c r="Q3" s="2" t="str">
        <x:v>Aliquota ISS %</x:v>
      </x:c>
      <x:c r="R3" s="2" t="str">
        <x:v>Observacoes</x:v>
      </x:c>
    </x:row>
    <x:row r="4">
      <x:c r="A4" s="3" t="str">
        <x:v>CL001</x:v>
      </x:c>
      <x:c r="B4" s="3" t="str">
        <x:v>ANNATACHI BOTELHO JARDIM</x:v>
      </x:c>
      <x:c r="C4" s="3" t="str"/>
      <x:c r="D4" s="3" t="str">
        <x:v>32.059.204/0001-94</x:v>
      </x:c>
      <x:c r="E4" s="3" t="str"/>
      <x:c r="F4" s="3" t="str"/>
      <x:c r="G4" s="3" t="str"/>
      <x:c r="H4" s="3" t="str"/>
      <x:c r="I4" s="3" t="str"/>
      <x:c r="J4" s="3" t="str"/>
      <x:c r="K4" s="3" t="str">
        <x:v>Belo Horizonte</x:v>
      </x:c>
      <x:c r="L4" s="3" t="str">
        <x:v>MG</x:v>
      </x:c>
      <x:c r="M4" s="3" t="str"/>
      <x:c r="N4" s="3" t="str"/>
      <x:c r="O4" s="3" t="str"/>
      <x:c r="P4" s="3" t="str">
        <x:v>Confirmar</x:v>
      </x:c>
      <x:c r="Q4" s="4" t="str"/>
      <x:c r="R4" s="3" t="str">
        <x:v>Dados vindos do Pix de 05/05/2026. Completar endereco e e-mail.</x:v>
      </x:c>
    </x:row>
    <x:row r="5">
      <x:c r="A5" s="3" t="str">
        <x:v>CL002</x:v>
      </x:c>
      <x:c r="B5" s="3" t="str"/>
      <x:c r="C5" s="3" t="str"/>
      <x:c r="D5" s="3" t="str"/>
      <x:c r="E5" s="3" t="str"/>
      <x:c r="F5" s="3" t="str"/>
      <x:c r="G5" s="3" t="str"/>
      <x:c r="H5" s="3" t="str"/>
      <x:c r="I5" s="3" t="str"/>
      <x:c r="J5" s="3" t="str"/>
      <x:c r="K5" s="3" t="str">
        <x:v>Belo Horizonte</x:v>
      </x:c>
      <x:c r="L5" s="3" t="str">
        <x:v>MG</x:v>
      </x:c>
      <x:c r="M5" s="3" t="str"/>
      <x:c r="N5" s="3" t="str"/>
      <x:c r="O5" s="3" t="str"/>
      <x:c r="P5" s="3" t="str">
        <x:v>Confirmar</x:v>
      </x:c>
      <x:c r="Q5" s="4" t="str"/>
      <x:c r="R5" s="3" t="str"/>
    </x:row>
    <x:row r="6">
      <x:c r="A6" s="3" t="str">
        <x:v>CL003</x:v>
      </x:c>
      <x:c r="B6" s="3" t="str"/>
      <x:c r="C6" s="3" t="str"/>
      <x:c r="D6" s="3" t="str"/>
      <x:c r="E6" s="3" t="str"/>
      <x:c r="F6" s="3" t="str"/>
      <x:c r="G6" s="3" t="str"/>
      <x:c r="H6" s="3" t="str"/>
      <x:c r="I6" s="3" t="str"/>
      <x:c r="J6" s="3" t="str"/>
      <x:c r="K6" s="3" t="str">
        <x:v>Belo Horizonte</x:v>
      </x:c>
      <x:c r="L6" s="3" t="str">
        <x:v>MG</x:v>
      </x:c>
      <x:c r="M6" s="3" t="str"/>
      <x:c r="N6" s="3" t="str"/>
      <x:c r="O6" s="3" t="str"/>
      <x:c r="P6" s="3" t="str">
        <x:v>Confirmar</x:v>
      </x:c>
      <x:c r="Q6" s="4" t="str"/>
      <x:c r="R6" s="3" t="str"/>
    </x:row>
    <x:row r="7">
      <x:c r="A7" s="3" t="str">
        <x:v>CL004</x:v>
      </x:c>
      <x:c r="B7" s="3" t="str"/>
      <x:c r="C7" s="3" t="str"/>
      <x:c r="D7" s="3" t="str"/>
      <x:c r="E7" s="3" t="str"/>
      <x:c r="F7" s="3" t="str"/>
      <x:c r="G7" s="3" t="str"/>
      <x:c r="H7" s="3" t="str"/>
      <x:c r="I7" s="3" t="str"/>
      <x:c r="J7" s="3" t="str"/>
      <x:c r="K7" s="3" t="str">
        <x:v>Belo Horizonte</x:v>
      </x:c>
      <x:c r="L7" s="3" t="str">
        <x:v>MG</x:v>
      </x:c>
      <x:c r="M7" s="3" t="str"/>
      <x:c r="N7" s="3" t="str"/>
      <x:c r="O7" s="3" t="str"/>
      <x:c r="P7" s="3" t="str">
        <x:v>Confirmar</x:v>
      </x:c>
      <x:c r="Q7" s="4" t="str"/>
      <x:c r="R7" s="3" t="str"/>
    </x:row>
    <x:row r="8">
      <x:c r="A8" s="3" t="str">
        <x:v>CL005</x:v>
      </x:c>
      <x:c r="B8" s="3" t="str"/>
      <x:c r="C8" s="3" t="str"/>
      <x:c r="D8" s="3" t="str"/>
      <x:c r="E8" s="3" t="str"/>
      <x:c r="F8" s="3" t="str"/>
      <x:c r="G8" s="3" t="str"/>
      <x:c r="H8" s="3" t="str"/>
      <x:c r="I8" s="3" t="str"/>
      <x:c r="J8" s="3" t="str"/>
      <x:c r="K8" s="3" t="str">
        <x:v>Belo Horizonte</x:v>
      </x:c>
      <x:c r="L8" s="3" t="str">
        <x:v>MG</x:v>
      </x:c>
      <x:c r="M8" s="3" t="str"/>
      <x:c r="N8" s="3" t="str"/>
      <x:c r="O8" s="3" t="str"/>
      <x:c r="P8" s="3" t="str">
        <x:v>Confirmar</x:v>
      </x:c>
      <x:c r="Q8" s="4" t="str"/>
      <x:c r="R8" s="3" t="str"/>
    </x:row>
    <x:row r="9">
      <x:c r="A9" s="3" t="str">
        <x:v>CL006</x:v>
      </x:c>
      <x:c r="B9" s="3" t="str"/>
      <x:c r="C9" s="3" t="str"/>
      <x:c r="D9" s="3" t="str"/>
      <x:c r="E9" s="3" t="str"/>
      <x:c r="F9" s="3" t="str"/>
      <x:c r="G9" s="3" t="str"/>
      <x:c r="H9" s="3" t="str"/>
      <x:c r="I9" s="3" t="str"/>
      <x:c r="J9" s="3" t="str"/>
      <x:c r="K9" s="3" t="str">
        <x:v>Belo Horizonte</x:v>
      </x:c>
      <x:c r="L9" s="3" t="str">
        <x:v>MG</x:v>
      </x:c>
      <x:c r="M9" s="3" t="str"/>
      <x:c r="N9" s="3" t="str"/>
      <x:c r="O9" s="3" t="str"/>
      <x:c r="P9" s="3" t="str">
        <x:v>Confirmar</x:v>
      </x:c>
      <x:c r="Q9" s="4" t="str"/>
      <x:c r="R9" s="3" t="str"/>
    </x:row>
    <x:row r="10">
      <x:c r="A10" s="3" t="str">
        <x:v>CL007</x:v>
      </x:c>
      <x:c r="B10" s="3" t="str"/>
      <x:c r="C10" s="3" t="str"/>
      <x:c r="D10" s="3" t="str"/>
      <x:c r="E10" s="3" t="str"/>
      <x:c r="F10" s="3" t="str"/>
      <x:c r="G10" s="3" t="str"/>
      <x:c r="H10" s="3" t="str"/>
      <x:c r="I10" s="3" t="str"/>
      <x:c r="J10" s="3" t="str"/>
      <x:c r="K10" s="3" t="str">
        <x:v>Belo Horizonte</x:v>
      </x:c>
      <x:c r="L10" s="3" t="str">
        <x:v>MG</x:v>
      </x:c>
      <x:c r="M10" s="3" t="str"/>
      <x:c r="N10" s="3" t="str"/>
      <x:c r="O10" s="3" t="str"/>
      <x:c r="P10" s="3" t="str">
        <x:v>Confirmar</x:v>
      </x:c>
      <x:c r="Q10" s="4" t="str"/>
      <x:c r="R10" s="3" t="str"/>
    </x:row>
    <x:row r="11">
      <x:c r="A11" s="3" t="str">
        <x:v>CL008</x:v>
      </x:c>
      <x:c r="B11" s="3" t="str"/>
      <x:c r="C11" s="3" t="str"/>
      <x:c r="D11" s="3" t="str"/>
      <x:c r="E11" s="3" t="str"/>
      <x:c r="F11" s="3" t="str"/>
      <x:c r="G11" s="3" t="str"/>
      <x:c r="H11" s="3" t="str"/>
      <x:c r="I11" s="3" t="str"/>
      <x:c r="J11" s="3" t="str"/>
      <x:c r="K11" s="3" t="str">
        <x:v>Belo Horizonte</x:v>
      </x:c>
      <x:c r="L11" s="3" t="str">
        <x:v>MG</x:v>
      </x:c>
      <x:c r="M11" s="3" t="str"/>
      <x:c r="N11" s="3" t="str"/>
      <x:c r="O11" s="3" t="str"/>
      <x:c r="P11" s="3" t="str">
        <x:v>Confirmar</x:v>
      </x:c>
      <x:c r="Q11" s="4" t="str"/>
      <x:c r="R11" s="3" t="str"/>
    </x:row>
    <x:row r="12">
      <x:c r="A12" s="3" t="str">
        <x:v>CL009</x:v>
      </x:c>
      <x:c r="B12" s="3" t="str"/>
      <x:c r="C12" s="3" t="str"/>
      <x:c r="D12" s="3" t="str"/>
      <x:c r="E12" s="3" t="str"/>
      <x:c r="F12" s="3" t="str"/>
      <x:c r="G12" s="3" t="str"/>
      <x:c r="H12" s="3" t="str"/>
      <x:c r="I12" s="3" t="str"/>
      <x:c r="J12" s="3" t="str"/>
      <x:c r="K12" s="3" t="str">
        <x:v>Belo Horizonte</x:v>
      </x:c>
      <x:c r="L12" s="3" t="str">
        <x:v>MG</x:v>
      </x:c>
      <x:c r="M12" s="3" t="str"/>
      <x:c r="N12" s="3" t="str"/>
      <x:c r="O12" s="3" t="str"/>
      <x:c r="P12" s="3" t="str">
        <x:v>Confirmar</x:v>
      </x:c>
      <x:c r="Q12" s="4" t="str"/>
      <x:c r="R12" s="3" t="str"/>
    </x:row>
    <x:row r="13">
      <x:c r="A13" s="3" t="str">
        <x:v>CL010</x:v>
      </x:c>
      <x:c r="B13" s="3" t="str"/>
      <x:c r="C13" s="3" t="str"/>
      <x:c r="D13" s="3" t="str"/>
      <x:c r="E13" s="3" t="str"/>
      <x:c r="F13" s="3" t="str"/>
      <x:c r="G13" s="3" t="str"/>
      <x:c r="H13" s="3" t="str"/>
      <x:c r="I13" s="3" t="str"/>
      <x:c r="J13" s="3" t="str"/>
      <x:c r="K13" s="3" t="str">
        <x:v>Belo Horizonte</x:v>
      </x:c>
      <x:c r="L13" s="3" t="str">
        <x:v>MG</x:v>
      </x:c>
      <x:c r="M13" s="3" t="str"/>
      <x:c r="N13" s="3" t="str"/>
      <x:c r="O13" s="3" t="str"/>
      <x:c r="P13" s="3" t="str">
        <x:v>Confirmar</x:v>
      </x:c>
      <x:c r="Q13" s="4" t="str"/>
      <x:c r="R13" s="3" t="str"/>
    </x:row>
    <x:row r="14">
      <x:c r="A14" s="3" t="str">
        <x:v>CL011</x:v>
      </x:c>
      <x:c r="B14" s="3" t="str"/>
      <x:c r="C14" s="3" t="str"/>
      <x:c r="D14" s="3" t="str"/>
      <x:c r="E14" s="3" t="str"/>
      <x:c r="F14" s="3" t="str"/>
      <x:c r="G14" s="3" t="str"/>
      <x:c r="H14" s="3" t="str"/>
      <x:c r="I14" s="3" t="str"/>
      <x:c r="J14" s="3" t="str"/>
      <x:c r="K14" s="3" t="str">
        <x:v>Belo Horizonte</x:v>
      </x:c>
      <x:c r="L14" s="3" t="str">
        <x:v>MG</x:v>
      </x:c>
      <x:c r="M14" s="3" t="str"/>
      <x:c r="N14" s="3" t="str"/>
      <x:c r="O14" s="3" t="str"/>
      <x:c r="P14" s="3" t="str">
        <x:v>Confirmar</x:v>
      </x:c>
      <x:c r="Q14" s="4" t="str"/>
      <x:c r="R14" s="3" t="str"/>
    </x:row>
    <x:row r="15">
      <x:c r="A15" s="3" t="str">
        <x:v>CL012</x:v>
      </x:c>
      <x:c r="B15" s="3" t="str"/>
      <x:c r="C15" s="3" t="str"/>
      <x:c r="D15" s="3" t="str"/>
      <x:c r="E15" s="3" t="str"/>
      <x:c r="F15" s="3" t="str"/>
      <x:c r="G15" s="3" t="str"/>
      <x:c r="H15" s="3" t="str"/>
      <x:c r="I15" s="3" t="str"/>
      <x:c r="J15" s="3" t="str"/>
      <x:c r="K15" s="3" t="str">
        <x:v>Belo Horizonte</x:v>
      </x:c>
      <x:c r="L15" s="3" t="str">
        <x:v>MG</x:v>
      </x:c>
      <x:c r="M15" s="3" t="str"/>
      <x:c r="N15" s="3" t="str"/>
      <x:c r="O15" s="3" t="str"/>
      <x:c r="P15" s="3" t="str">
        <x:v>Confirmar</x:v>
      </x:c>
      <x:c r="Q15" s="4" t="str"/>
      <x:c r="R15" s="3" t="str"/>
    </x:row>
    <x:row r="16">
      <x:c r="A16" s="3" t="str">
        <x:v>CL013</x:v>
      </x:c>
      <x:c r="B16" s="3" t="str"/>
      <x:c r="C16" s="3" t="str"/>
      <x:c r="D16" s="3" t="str"/>
      <x:c r="E16" s="3" t="str"/>
      <x:c r="F16" s="3" t="str"/>
      <x:c r="G16" s="3" t="str"/>
      <x:c r="H16" s="3" t="str"/>
      <x:c r="I16" s="3" t="str"/>
      <x:c r="J16" s="3" t="str"/>
      <x:c r="K16" s="3" t="str">
        <x:v>Belo Horizonte</x:v>
      </x:c>
      <x:c r="L16" s="3" t="str">
        <x:v>MG</x:v>
      </x:c>
      <x:c r="M16" s="3" t="str"/>
      <x:c r="N16" s="3" t="str"/>
      <x:c r="O16" s="3" t="str"/>
      <x:c r="P16" s="3" t="str">
        <x:v>Confirmar</x:v>
      </x:c>
      <x:c r="Q16" s="4" t="str"/>
      <x:c r="R16" s="3" t="str"/>
    </x:row>
    <x:row r="17">
      <x:c r="A17" s="3" t="str">
        <x:v>CL014</x:v>
      </x:c>
      <x:c r="B17" s="3" t="str"/>
      <x:c r="C17" s="3" t="str"/>
      <x:c r="D17" s="3" t="str"/>
      <x:c r="E17" s="3" t="str"/>
      <x:c r="F17" s="3" t="str"/>
      <x:c r="G17" s="3" t="str"/>
      <x:c r="H17" s="3" t="str"/>
      <x:c r="I17" s="3" t="str"/>
      <x:c r="J17" s="3" t="str"/>
      <x:c r="K17" s="3" t="str">
        <x:v>Belo Horizonte</x:v>
      </x:c>
      <x:c r="L17" s="3" t="str">
        <x:v>MG</x:v>
      </x:c>
      <x:c r="M17" s="3" t="str"/>
      <x:c r="N17" s="3" t="str"/>
      <x:c r="O17" s="3" t="str"/>
      <x:c r="P17" s="3" t="str">
        <x:v>Confirmar</x:v>
      </x:c>
      <x:c r="Q17" s="4" t="str"/>
      <x:c r="R17" s="3" t="str"/>
    </x:row>
    <x:row r="18">
      <x:c r="A18" s="3" t="str">
        <x:v>CL015</x:v>
      </x:c>
      <x:c r="B18" s="3" t="str"/>
      <x:c r="C18" s="3" t="str"/>
      <x:c r="D18" s="3" t="str"/>
      <x:c r="E18" s="3" t="str"/>
      <x:c r="F18" s="3" t="str"/>
      <x:c r="G18" s="3" t="str"/>
      <x:c r="H18" s="3" t="str"/>
      <x:c r="I18" s="3" t="str"/>
      <x:c r="J18" s="3" t="str"/>
      <x:c r="K18" s="3" t="str">
        <x:v>Belo Horizonte</x:v>
      </x:c>
      <x:c r="L18" s="3" t="str">
        <x:v>MG</x:v>
      </x:c>
      <x:c r="M18" s="3" t="str"/>
      <x:c r="N18" s="3" t="str"/>
      <x:c r="O18" s="3" t="str"/>
      <x:c r="P18" s="3" t="str">
        <x:v>Confirmar</x:v>
      </x:c>
      <x:c r="Q18" s="4" t="str"/>
      <x:c r="R18" s="3" t="str"/>
    </x:row>
    <x:row r="19">
      <x:c r="A19" s="3" t="str">
        <x:v>CL016</x:v>
      </x:c>
      <x:c r="B19" s="3" t="str"/>
      <x:c r="C19" s="3" t="str"/>
      <x:c r="D19" s="3" t="str"/>
      <x:c r="E19" s="3" t="str"/>
      <x:c r="F19" s="3" t="str"/>
      <x:c r="G19" s="3" t="str"/>
      <x:c r="H19" s="3" t="str"/>
      <x:c r="I19" s="3" t="str"/>
      <x:c r="J19" s="3" t="str"/>
      <x:c r="K19" s="3" t="str">
        <x:v>Belo Horizonte</x:v>
      </x:c>
      <x:c r="L19" s="3" t="str">
        <x:v>MG</x:v>
      </x:c>
      <x:c r="M19" s="3" t="str"/>
      <x:c r="N19" s="3" t="str"/>
      <x:c r="O19" s="3" t="str"/>
      <x:c r="P19" s="3" t="str">
        <x:v>Confirmar</x:v>
      </x:c>
      <x:c r="Q19" s="4" t="str"/>
      <x:c r="R19" s="3" t="str"/>
    </x:row>
    <x:row r="20">
      <x:c r="A20" s="3" t="str">
        <x:v>CL017</x:v>
      </x:c>
      <x:c r="B20" s="3" t="str"/>
      <x:c r="C20" s="3" t="str"/>
      <x:c r="D20" s="3" t="str"/>
      <x:c r="E20" s="3" t="str"/>
      <x:c r="F20" s="3" t="str"/>
      <x:c r="G20" s="3" t="str"/>
      <x:c r="H20" s="3" t="str"/>
      <x:c r="I20" s="3" t="str"/>
      <x:c r="J20" s="3" t="str"/>
      <x:c r="K20" s="3" t="str">
        <x:v>Belo Horizonte</x:v>
      </x:c>
      <x:c r="L20" s="3" t="str">
        <x:v>MG</x:v>
      </x:c>
      <x:c r="M20" s="3" t="str"/>
      <x:c r="N20" s="3" t="str"/>
      <x:c r="O20" s="3" t="str"/>
      <x:c r="P20" s="3" t="str">
        <x:v>Confirmar</x:v>
      </x:c>
      <x:c r="Q20" s="4" t="str"/>
      <x:c r="R20" s="3" t="str"/>
    </x:row>
    <x:row r="21">
      <x:c r="A21" s="3" t="str">
        <x:v>CL018</x:v>
      </x:c>
      <x:c r="B21" s="3" t="str"/>
      <x:c r="C21" s="3" t="str"/>
      <x:c r="D21" s="3" t="str"/>
      <x:c r="E21" s="3" t="str"/>
      <x:c r="F21" s="3" t="str"/>
      <x:c r="G21" s="3" t="str"/>
      <x:c r="H21" s="3" t="str"/>
      <x:c r="I21" s="3" t="str"/>
      <x:c r="J21" s="3" t="str"/>
      <x:c r="K21" s="3" t="str">
        <x:v>Belo Horizonte</x:v>
      </x:c>
      <x:c r="L21" s="3" t="str">
        <x:v>MG</x:v>
      </x:c>
      <x:c r="M21" s="3" t="str"/>
      <x:c r="N21" s="3" t="str"/>
      <x:c r="O21" s="3" t="str"/>
      <x:c r="P21" s="3" t="str">
        <x:v>Confirmar</x:v>
      </x:c>
      <x:c r="Q21" s="4" t="str"/>
      <x:c r="R21" s="3" t="str"/>
    </x:row>
    <x:row r="22">
      <x:c r="A22" s="3" t="str">
        <x:v>CL019</x:v>
      </x:c>
      <x:c r="B22" s="3" t="str"/>
      <x:c r="C22" s="3" t="str"/>
      <x:c r="D22" s="3" t="str"/>
      <x:c r="E22" s="3" t="str"/>
      <x:c r="F22" s="3" t="str"/>
      <x:c r="G22" s="3" t="str"/>
      <x:c r="H22" s="3" t="str"/>
      <x:c r="I22" s="3" t="str"/>
      <x:c r="J22" s="3" t="str"/>
      <x:c r="K22" s="3" t="str">
        <x:v>Belo Horizonte</x:v>
      </x:c>
      <x:c r="L22" s="3" t="str">
        <x:v>MG</x:v>
      </x:c>
      <x:c r="M22" s="3" t="str"/>
      <x:c r="N22" s="3" t="str"/>
      <x:c r="O22" s="3" t="str"/>
      <x:c r="P22" s="3" t="str">
        <x:v>Confirmar</x:v>
      </x:c>
      <x:c r="Q22" s="4" t="str"/>
      <x:c r="R22" s="3" t="str"/>
    </x:row>
    <x:row r="23">
      <x:c r="A23" s="3" t="str">
        <x:v>CL020</x:v>
      </x:c>
      <x:c r="B23" s="3" t="str"/>
      <x:c r="C23" s="3" t="str"/>
      <x:c r="D23" s="3" t="str"/>
      <x:c r="E23" s="3" t="str"/>
      <x:c r="F23" s="3" t="str"/>
      <x:c r="G23" s="3" t="str"/>
      <x:c r="H23" s="3" t="str"/>
      <x:c r="I23" s="3" t="str"/>
      <x:c r="J23" s="3" t="str"/>
      <x:c r="K23" s="3" t="str">
        <x:v>Belo Horizonte</x:v>
      </x:c>
      <x:c r="L23" s="3" t="str">
        <x:v>MG</x:v>
      </x:c>
      <x:c r="M23" s="3" t="str"/>
      <x:c r="N23" s="3" t="str"/>
      <x:c r="O23" s="3" t="str"/>
      <x:c r="P23" s="3" t="str">
        <x:v>Confirmar</x:v>
      </x:c>
      <x:c r="Q23" s="4" t="str"/>
      <x:c r="R23" s="3" t="str"/>
    </x:row>
    <x:row r="24">
      <x:c r="A24" s="3" t="str">
        <x:v>CL021</x:v>
      </x:c>
      <x:c r="B24" s="3" t="str"/>
      <x:c r="C24" s="3" t="str"/>
      <x:c r="D24" s="3" t="str"/>
      <x:c r="E24" s="3" t="str"/>
      <x:c r="F24" s="3" t="str"/>
      <x:c r="G24" s="3" t="str"/>
      <x:c r="H24" s="3" t="str"/>
      <x:c r="I24" s="3" t="str"/>
      <x:c r="J24" s="3" t="str"/>
      <x:c r="K24" s="3" t="str">
        <x:v>Belo Horizonte</x:v>
      </x:c>
      <x:c r="L24" s="3" t="str">
        <x:v>MG</x:v>
      </x:c>
      <x:c r="M24" s="3" t="str"/>
      <x:c r="N24" s="3" t="str"/>
      <x:c r="O24" s="3" t="str"/>
      <x:c r="P24" s="3" t="str">
        <x:v>Confirmar</x:v>
      </x:c>
      <x:c r="Q24" s="4" t="str"/>
      <x:c r="R24" s="3" t="str"/>
    </x:row>
    <x:row r="25">
      <x:c r="A25" s="3" t="str"/>
      <x:c r="B25" s="3" t="str"/>
      <x:c r="C25" s="3" t="str"/>
      <x:c r="D25" s="3" t="str"/>
      <x:c r="E25" s="3" t="str"/>
      <x:c r="F25" s="3" t="str"/>
      <x:c r="G25" s="3" t="str"/>
      <x:c r="H25" s="3" t="str"/>
      <x:c r="I25" s="3" t="str"/>
      <x:c r="J25" s="3" t="str"/>
      <x:c r="K25" s="3" t="str">
        <x:v>Belo Horizonte</x:v>
      </x:c>
      <x:c r="L25" s="3" t="str">
        <x:v>MG</x:v>
      </x:c>
      <x:c r="M25" s="3" t="str"/>
      <x:c r="N25" s="3" t="str"/>
      <x:c r="O25" s="3" t="str"/>
      <x:c r="P25" s="3" t="str">
        <x:v>Confirmar</x:v>
      </x:c>
      <x:c r="Q25" s="4" t="str"/>
      <x:c r="R25" s="3" t="str"/>
    </x:row>
    <x:row r="26">
      <x:c r="A26" s="3" t="str"/>
      <x:c r="B26" s="3" t="str"/>
      <x:c r="C26" s="3" t="str"/>
      <x:c r="D26" s="3" t="str"/>
      <x:c r="E26" s="3" t="str"/>
      <x:c r="F26" s="3" t="str"/>
      <x:c r="G26" s="3" t="str"/>
      <x:c r="H26" s="3" t="str"/>
      <x:c r="I26" s="3" t="str"/>
      <x:c r="J26" s="3" t="str"/>
      <x:c r="K26" s="3" t="str">
        <x:v>Belo Horizonte</x:v>
      </x:c>
      <x:c r="L26" s="3" t="str">
        <x:v>MG</x:v>
      </x:c>
      <x:c r="M26" s="3" t="str"/>
      <x:c r="N26" s="3" t="str"/>
      <x:c r="O26" s="3" t="str"/>
      <x:c r="P26" s="3" t="str">
        <x:v>Confirmar</x:v>
      </x:c>
      <x:c r="Q26" s="4" t="str"/>
      <x:c r="R26" s="3" t="str"/>
    </x:row>
    <x:row r="27">
      <x:c r="A27" s="3" t="str"/>
      <x:c r="B27" s="3" t="str"/>
      <x:c r="C27" s="3" t="str"/>
      <x:c r="D27" s="3" t="str"/>
      <x:c r="E27" s="3" t="str"/>
      <x:c r="F27" s="3" t="str"/>
      <x:c r="G27" s="3" t="str"/>
      <x:c r="H27" s="3" t="str"/>
      <x:c r="I27" s="3" t="str"/>
      <x:c r="J27" s="3" t="str"/>
      <x:c r="K27" s="3" t="str">
        <x:v>Belo Horizonte</x:v>
      </x:c>
      <x:c r="L27" s="3" t="str">
        <x:v>MG</x:v>
      </x:c>
      <x:c r="M27" s="3" t="str"/>
      <x:c r="N27" s="3" t="str"/>
      <x:c r="O27" s="3" t="str"/>
      <x:c r="P27" s="3" t="str">
        <x:v>Confirmar</x:v>
      </x:c>
      <x:c r="Q27" s="4" t="str"/>
      <x:c r="R27" s="3" t="str"/>
    </x:row>
    <x:row r="28">
      <x:c r="A28" s="3" t="str"/>
      <x:c r="B28" s="3" t="str"/>
      <x:c r="C28" s="3" t="str"/>
      <x:c r="D28" s="3" t="str"/>
      <x:c r="E28" s="3" t="str"/>
      <x:c r="F28" s="3" t="str"/>
      <x:c r="G28" s="3" t="str"/>
      <x:c r="H28" s="3" t="str"/>
      <x:c r="I28" s="3" t="str"/>
      <x:c r="J28" s="3" t="str"/>
      <x:c r="K28" s="3" t="str">
        <x:v>Belo Horizonte</x:v>
      </x:c>
      <x:c r="L28" s="3" t="str">
        <x:v>MG</x:v>
      </x:c>
      <x:c r="M28" s="3" t="str"/>
      <x:c r="N28" s="3" t="str"/>
      <x:c r="O28" s="3" t="str"/>
      <x:c r="P28" s="3" t="str">
        <x:v>Confirmar</x:v>
      </x:c>
      <x:c r="Q28" s="4" t="str"/>
      <x:c r="R28" s="3" t="str"/>
    </x:row>
    <x:row r="29">
      <x:c r="A29" s="3" t="str"/>
      <x:c r="B29" s="3" t="str"/>
      <x:c r="C29" s="3" t="str"/>
      <x:c r="D29" s="3" t="str"/>
      <x:c r="E29" s="3" t="str"/>
      <x:c r="F29" s="3" t="str"/>
      <x:c r="G29" s="3" t="str"/>
      <x:c r="H29" s="3" t="str"/>
      <x:c r="I29" s="3" t="str"/>
      <x:c r="J29" s="3" t="str"/>
      <x:c r="K29" s="3" t="str">
        <x:v>Belo Horizonte</x:v>
      </x:c>
      <x:c r="L29" s="3" t="str">
        <x:v>MG</x:v>
      </x:c>
      <x:c r="M29" s="3" t="str"/>
      <x:c r="N29" s="3" t="str"/>
      <x:c r="O29" s="3" t="str"/>
      <x:c r="P29" s="3" t="str">
        <x:v>Confirmar</x:v>
      </x:c>
      <x:c r="Q29" s="4" t="str"/>
      <x:c r="R29" s="3" t="str"/>
    </x:row>
    <x:row r="30">
      <x:c r="A30" s="3" t="str"/>
      <x:c r="B30" s="3" t="str"/>
      <x:c r="C30" s="3" t="str"/>
      <x:c r="D30" s="3" t="str"/>
      <x:c r="E30" s="3" t="str"/>
      <x:c r="F30" s="3" t="str"/>
      <x:c r="G30" s="3" t="str"/>
      <x:c r="H30" s="3" t="str"/>
      <x:c r="I30" s="3" t="str"/>
      <x:c r="J30" s="3" t="str"/>
      <x:c r="K30" s="3" t="str">
        <x:v>Belo Horizonte</x:v>
      </x:c>
      <x:c r="L30" s="3" t="str">
        <x:v>MG</x:v>
      </x:c>
      <x:c r="M30" s="3" t="str"/>
      <x:c r="N30" s="3" t="str"/>
      <x:c r="O30" s="3" t="str"/>
      <x:c r="P30" s="3" t="str">
        <x:v>Confirmar</x:v>
      </x:c>
      <x:c r="Q30" s="4" t="str"/>
      <x:c r="R30" s="3" t="str"/>
    </x:row>
    <x:row r="31">
      <x:c r="A31" s="3" t="str"/>
      <x:c r="B31" s="3" t="str"/>
      <x:c r="C31" s="3" t="str"/>
      <x:c r="D31" s="3" t="str"/>
      <x:c r="E31" s="3" t="str"/>
      <x:c r="F31" s="3" t="str"/>
      <x:c r="G31" s="3" t="str"/>
      <x:c r="H31" s="3" t="str"/>
      <x:c r="I31" s="3" t="str"/>
      <x:c r="J31" s="3" t="str"/>
      <x:c r="K31" s="3" t="str">
        <x:v>Belo Horizonte</x:v>
      </x:c>
      <x:c r="L31" s="3" t="str">
        <x:v>MG</x:v>
      </x:c>
      <x:c r="M31" s="3" t="str"/>
      <x:c r="N31" s="3" t="str"/>
      <x:c r="O31" s="3" t="str"/>
      <x:c r="P31" s="3" t="str">
        <x:v>Confirmar</x:v>
      </x:c>
      <x:c r="Q31" s="4" t="str"/>
      <x:c r="R31" s="3" t="str"/>
    </x:row>
    <x:row r="32">
      <x:c r="A32" s="3" t="str"/>
      <x:c r="B32" s="3" t="str"/>
      <x:c r="C32" s="3" t="str"/>
      <x:c r="D32" s="3" t="str"/>
      <x:c r="E32" s="3" t="str"/>
      <x:c r="F32" s="3" t="str"/>
      <x:c r="G32" s="3" t="str"/>
      <x:c r="H32" s="3" t="str"/>
      <x:c r="I32" s="3" t="str"/>
      <x:c r="J32" s="3" t="str"/>
      <x:c r="K32" s="3" t="str">
        <x:v>Belo Horizonte</x:v>
      </x:c>
      <x:c r="L32" s="3" t="str">
        <x:v>MG</x:v>
      </x:c>
      <x:c r="M32" s="3" t="str"/>
      <x:c r="N32" s="3" t="str"/>
      <x:c r="O32" s="3" t="str"/>
      <x:c r="P32" s="3" t="str">
        <x:v>Confirmar</x:v>
      </x:c>
      <x:c r="Q32" s="4" t="str"/>
      <x:c r="R32" s="3" t="str"/>
    </x:row>
    <x:row r="33">
      <x:c r="A33" s="3" t="str"/>
      <x:c r="B33" s="3" t="str"/>
      <x:c r="C33" s="3" t="str"/>
      <x:c r="D33" s="3" t="str"/>
      <x:c r="E33" s="3" t="str"/>
      <x:c r="F33" s="3" t="str"/>
      <x:c r="G33" s="3" t="str"/>
      <x:c r="H33" s="3" t="str"/>
      <x:c r="I33" s="3" t="str"/>
      <x:c r="J33" s="3" t="str"/>
      <x:c r="K33" s="3" t="str">
        <x:v>Belo Horizonte</x:v>
      </x:c>
      <x:c r="L33" s="3" t="str">
        <x:v>MG</x:v>
      </x:c>
      <x:c r="M33" s="3" t="str"/>
      <x:c r="N33" s="3" t="str"/>
      <x:c r="O33" s="3" t="str"/>
      <x:c r="P33" s="3" t="str">
        <x:v>Confirmar</x:v>
      </x:c>
      <x:c r="Q33" s="4" t="str"/>
      <x:c r="R33" s="3" t="str"/>
    </x:row>
    <x:row r="34">
      <x:c r="A34" s="3" t="str"/>
      <x:c r="B34" s="3" t="str"/>
      <x:c r="C34" s="3" t="str"/>
      <x:c r="D34" s="3" t="str"/>
      <x:c r="E34" s="3" t="str"/>
      <x:c r="F34" s="3" t="str"/>
      <x:c r="G34" s="3" t="str"/>
      <x:c r="H34" s="3" t="str"/>
      <x:c r="I34" s="3" t="str"/>
      <x:c r="J34" s="3" t="str"/>
      <x:c r="K34" s="3" t="str">
        <x:v>Belo Horizonte</x:v>
      </x:c>
      <x:c r="L34" s="3" t="str">
        <x:v>MG</x:v>
      </x:c>
      <x:c r="M34" s="3" t="str"/>
      <x:c r="N34" s="3" t="str"/>
      <x:c r="O34" s="3" t="str"/>
      <x:c r="P34" s="3" t="str">
        <x:v>Confirmar</x:v>
      </x:c>
      <x:c r="Q34" s="4" t="str"/>
      <x:c r="R34" s="3" t="str"/>
    </x:row>
    <x:row r="35">
      <x:c r="A35" s="3" t="str"/>
      <x:c r="B35" s="3" t="str"/>
      <x:c r="C35" s="3" t="str"/>
      <x:c r="D35" s="3" t="str"/>
      <x:c r="E35" s="3" t="str"/>
      <x:c r="F35" s="3" t="str"/>
      <x:c r="G35" s="3" t="str"/>
      <x:c r="H35" s="3" t="str"/>
      <x:c r="I35" s="3" t="str"/>
      <x:c r="J35" s="3" t="str"/>
      <x:c r="K35" s="3" t="str">
        <x:v>Belo Horizonte</x:v>
      </x:c>
      <x:c r="L35" s="3" t="str">
        <x:v>MG</x:v>
      </x:c>
      <x:c r="M35" s="3" t="str"/>
      <x:c r="N35" s="3" t="str"/>
      <x:c r="O35" s="3" t="str"/>
      <x:c r="P35" s="3" t="str">
        <x:v>Confirmar</x:v>
      </x:c>
      <x:c r="Q35" s="4" t="str"/>
      <x:c r="R35" s="3" t="str"/>
    </x:row>
    <x:row r="36">
      <x:c r="A36" s="3" t="str"/>
      <x:c r="B36" s="3" t="str"/>
      <x:c r="C36" s="3" t="str"/>
      <x:c r="D36" s="3" t="str"/>
      <x:c r="E36" s="3" t="str"/>
      <x:c r="F36" s="3" t="str"/>
      <x:c r="G36" s="3" t="str"/>
      <x:c r="H36" s="3" t="str"/>
      <x:c r="I36" s="3" t="str"/>
      <x:c r="J36" s="3" t="str"/>
      <x:c r="K36" s="3" t="str">
        <x:v>Belo Horizonte</x:v>
      </x:c>
      <x:c r="L36" s="3" t="str">
        <x:v>MG</x:v>
      </x:c>
      <x:c r="M36" s="3" t="str"/>
      <x:c r="N36" s="3" t="str"/>
      <x:c r="O36" s="3" t="str"/>
      <x:c r="P36" s="3" t="str">
        <x:v>Confirmar</x:v>
      </x:c>
      <x:c r="Q36" s="4" t="str"/>
      <x:c r="R36" s="3" t="str"/>
    </x:row>
    <x:row r="37">
      <x:c r="A37" s="3" t="str"/>
      <x:c r="B37" s="3" t="str"/>
      <x:c r="C37" s="3" t="str"/>
      <x:c r="D37" s="3" t="str"/>
      <x:c r="E37" s="3" t="str"/>
      <x:c r="F37" s="3" t="str"/>
      <x:c r="G37" s="3" t="str"/>
      <x:c r="H37" s="3" t="str"/>
      <x:c r="I37" s="3" t="str"/>
      <x:c r="J37" s="3" t="str"/>
      <x:c r="K37" s="3" t="str">
        <x:v>Belo Horizonte</x:v>
      </x:c>
      <x:c r="L37" s="3" t="str">
        <x:v>MG</x:v>
      </x:c>
      <x:c r="M37" s="3" t="str"/>
      <x:c r="N37" s="3" t="str"/>
      <x:c r="O37" s="3" t="str"/>
      <x:c r="P37" s="3" t="str">
        <x:v>Confirmar</x:v>
      </x:c>
      <x:c r="Q37" s="4" t="str"/>
      <x:c r="R37" s="3" t="str"/>
    </x:row>
    <x:row r="38">
      <x:c r="A38" s="3" t="str"/>
      <x:c r="B38" s="3" t="str"/>
      <x:c r="C38" s="3" t="str"/>
      <x:c r="D38" s="3" t="str"/>
      <x:c r="E38" s="3" t="str"/>
      <x:c r="F38" s="3" t="str"/>
      <x:c r="G38" s="3" t="str"/>
      <x:c r="H38" s="3" t="str"/>
      <x:c r="I38" s="3" t="str"/>
      <x:c r="J38" s="3" t="str"/>
      <x:c r="K38" s="3" t="str">
        <x:v>Belo Horizonte</x:v>
      </x:c>
      <x:c r="L38" s="3" t="str">
        <x:v>MG</x:v>
      </x:c>
      <x:c r="M38" s="3" t="str"/>
      <x:c r="N38" s="3" t="str"/>
      <x:c r="O38" s="3" t="str"/>
      <x:c r="P38" s="3" t="str">
        <x:v>Confirmar</x:v>
      </x:c>
      <x:c r="Q38" s="4" t="str"/>
      <x:c r="R38" s="3" t="str"/>
    </x:row>
    <x:row r="39">
      <x:c r="A39" s="3" t="str"/>
      <x:c r="B39" s="3" t="str"/>
      <x:c r="C39" s="3" t="str"/>
      <x:c r="D39" s="3" t="str"/>
      <x:c r="E39" s="3" t="str"/>
      <x:c r="F39" s="3" t="str"/>
      <x:c r="G39" s="3" t="str"/>
      <x:c r="H39" s="3" t="str"/>
      <x:c r="I39" s="3" t="str"/>
      <x:c r="J39" s="3" t="str"/>
      <x:c r="K39" s="3" t="str">
        <x:v>Belo Horizonte</x:v>
      </x:c>
      <x:c r="L39" s="3" t="str">
        <x:v>MG</x:v>
      </x:c>
      <x:c r="M39" s="3" t="str"/>
      <x:c r="N39" s="3" t="str"/>
      <x:c r="O39" s="3" t="str"/>
      <x:c r="P39" s="3" t="str">
        <x:v>Confirmar</x:v>
      </x:c>
      <x:c r="Q39" s="4" t="str"/>
      <x:c r="R39" s="3" t="str"/>
    </x:row>
    <x:row r="40">
      <x:c r="A40" s="3" t="str"/>
      <x:c r="B40" s="3" t="str"/>
      <x:c r="C40" s="3" t="str"/>
      <x:c r="D40" s="3" t="str"/>
      <x:c r="E40" s="3" t="str"/>
      <x:c r="F40" s="3" t="str"/>
      <x:c r="G40" s="3" t="str"/>
      <x:c r="H40" s="3" t="str"/>
      <x:c r="I40" s="3" t="str"/>
      <x:c r="J40" s="3" t="str"/>
      <x:c r="K40" s="3" t="str">
        <x:v>Belo Horizonte</x:v>
      </x:c>
      <x:c r="L40" s="3" t="str">
        <x:v>MG</x:v>
      </x:c>
      <x:c r="M40" s="3" t="str"/>
      <x:c r="N40" s="3" t="str"/>
      <x:c r="O40" s="3" t="str"/>
      <x:c r="P40" s="3" t="str">
        <x:v>Confirmar</x:v>
      </x:c>
      <x:c r="Q40" s="4" t="str"/>
      <x:c r="R40" s="3" t="str"/>
    </x:row>
    <x:row r="41">
      <x:c r="A41" s="3" t="str"/>
      <x:c r="B41" s="3" t="str"/>
      <x:c r="C41" s="3" t="str"/>
      <x:c r="D41" s="3" t="str"/>
      <x:c r="E41" s="3" t="str"/>
      <x:c r="F41" s="3" t="str"/>
      <x:c r="G41" s="3" t="str"/>
      <x:c r="H41" s="3" t="str"/>
      <x:c r="I41" s="3" t="str"/>
      <x:c r="J41" s="3" t="str"/>
      <x:c r="K41" s="3" t="str">
        <x:v>Belo Horizonte</x:v>
      </x:c>
      <x:c r="L41" s="3" t="str">
        <x:v>MG</x:v>
      </x:c>
      <x:c r="M41" s="3" t="str"/>
      <x:c r="N41" s="3" t="str"/>
      <x:c r="O41" s="3" t="str"/>
      <x:c r="P41" s="3" t="str">
        <x:v>Confirmar</x:v>
      </x:c>
      <x:c r="Q41" s="4" t="str"/>
      <x:c r="R41" s="3" t="str"/>
    </x:row>
    <x:row r="42">
      <x:c r="A42" s="3" t="str"/>
      <x:c r="B42" s="3" t="str"/>
      <x:c r="C42" s="3" t="str"/>
      <x:c r="D42" s="3" t="str"/>
      <x:c r="E42" s="3" t="str"/>
      <x:c r="F42" s="3" t="str"/>
      <x:c r="G42" s="3" t="str"/>
      <x:c r="H42" s="3" t="str"/>
      <x:c r="I42" s="3" t="str"/>
      <x:c r="J42" s="3" t="str"/>
      <x:c r="K42" s="3" t="str">
        <x:v>Belo Horizonte</x:v>
      </x:c>
      <x:c r="L42" s="3" t="str">
        <x:v>MG</x:v>
      </x:c>
      <x:c r="M42" s="3" t="str"/>
      <x:c r="N42" s="3" t="str"/>
      <x:c r="O42" s="3" t="str"/>
      <x:c r="P42" s="3" t="str">
        <x:v>Confirmar</x:v>
      </x:c>
      <x:c r="Q42" s="4" t="str"/>
      <x:c r="R42" s="3" t="str"/>
    </x:row>
    <x:row r="43">
      <x:c r="A43" s="3" t="str"/>
      <x:c r="B43" s="3" t="str"/>
      <x:c r="C43" s="3" t="str"/>
      <x:c r="D43" s="3" t="str"/>
      <x:c r="E43" s="3" t="str"/>
      <x:c r="F43" s="3" t="str"/>
      <x:c r="G43" s="3" t="str"/>
      <x:c r="H43" s="3" t="str"/>
      <x:c r="I43" s="3" t="str"/>
      <x:c r="J43" s="3" t="str"/>
      <x:c r="K43" s="3" t="str">
        <x:v>Belo Horizonte</x:v>
      </x:c>
      <x:c r="L43" s="3" t="str">
        <x:v>MG</x:v>
      </x:c>
      <x:c r="M43" s="3" t="str"/>
      <x:c r="N43" s="3" t="str"/>
      <x:c r="O43" s="3" t="str"/>
      <x:c r="P43" s="3" t="str">
        <x:v>Confirmar</x:v>
      </x:c>
      <x:c r="Q43" s="4" t="str"/>
      <x:c r="R43" s="3" t="str"/>
    </x:row>
    <x:row r="44">
      <x:c r="A44" s="3" t="str"/>
      <x:c r="B44" s="3" t="str"/>
      <x:c r="C44" s="3" t="str"/>
      <x:c r="D44" s="3" t="str"/>
      <x:c r="E44" s="3" t="str"/>
      <x:c r="F44" s="3" t="str"/>
      <x:c r="G44" s="3" t="str"/>
      <x:c r="H44" s="3" t="str"/>
      <x:c r="I44" s="3" t="str"/>
      <x:c r="J44" s="3" t="str"/>
      <x:c r="K44" s="3" t="str">
        <x:v>Belo Horizonte</x:v>
      </x:c>
      <x:c r="L44" s="3" t="str">
        <x:v>MG</x:v>
      </x:c>
      <x:c r="M44" s="3" t="str"/>
      <x:c r="N44" s="3" t="str"/>
      <x:c r="O44" s="3" t="str"/>
      <x:c r="P44" s="3" t="str">
        <x:v>Confirmar</x:v>
      </x:c>
      <x:c r="Q44" s="4" t="str"/>
      <x:c r="R44" s="3" t="str"/>
    </x:row>
    <x:row r="45">
      <x:c r="A45" s="3" t="str"/>
      <x:c r="B45" s="3" t="str"/>
      <x:c r="C45" s="3" t="str"/>
      <x:c r="D45" s="3" t="str"/>
      <x:c r="E45" s="3" t="str"/>
      <x:c r="F45" s="3" t="str"/>
      <x:c r="G45" s="3" t="str"/>
      <x:c r="H45" s="3" t="str"/>
      <x:c r="I45" s="3" t="str"/>
      <x:c r="J45" s="3" t="str"/>
      <x:c r="K45" s="3" t="str">
        <x:v>Belo Horizonte</x:v>
      </x:c>
      <x:c r="L45" s="3" t="str">
        <x:v>MG</x:v>
      </x:c>
      <x:c r="M45" s="3" t="str"/>
      <x:c r="N45" s="3" t="str"/>
      <x:c r="O45" s="3" t="str"/>
      <x:c r="P45" s="3" t="str">
        <x:v>Confirmar</x:v>
      </x:c>
      <x:c r="Q45" s="4" t="str"/>
      <x:c r="R45" s="3" t="str"/>
    </x:row>
    <x:row r="46">
      <x:c r="A46" s="3" t="str"/>
      <x:c r="B46" s="3" t="str"/>
      <x:c r="C46" s="3" t="str"/>
      <x:c r="D46" s="3" t="str"/>
      <x:c r="E46" s="3" t="str"/>
      <x:c r="F46" s="3" t="str"/>
      <x:c r="G46" s="3" t="str"/>
      <x:c r="H46" s="3" t="str"/>
      <x:c r="I46" s="3" t="str"/>
      <x:c r="J46" s="3" t="str"/>
      <x:c r="K46" s="3" t="str">
        <x:v>Belo Horizonte</x:v>
      </x:c>
      <x:c r="L46" s="3" t="str">
        <x:v>MG</x:v>
      </x:c>
      <x:c r="M46" s="3" t="str"/>
      <x:c r="N46" s="3" t="str"/>
      <x:c r="O46" s="3" t="str"/>
      <x:c r="P46" s="3" t="str">
        <x:v>Confirmar</x:v>
      </x:c>
      <x:c r="Q46" s="4" t="str"/>
      <x:c r="R46" s="3" t="str"/>
    </x:row>
    <x:row r="47">
      <x:c r="A47" s="3" t="str"/>
      <x:c r="B47" s="3" t="str"/>
      <x:c r="C47" s="3" t="str"/>
      <x:c r="D47" s="3" t="str"/>
      <x:c r="E47" s="3" t="str"/>
      <x:c r="F47" s="3" t="str"/>
      <x:c r="G47" s="3" t="str"/>
      <x:c r="H47" s="3" t="str"/>
      <x:c r="I47" s="3" t="str"/>
      <x:c r="J47" s="3" t="str"/>
      <x:c r="K47" s="3" t="str">
        <x:v>Belo Horizonte</x:v>
      </x:c>
      <x:c r="L47" s="3" t="str">
        <x:v>MG</x:v>
      </x:c>
      <x:c r="M47" s="3" t="str"/>
      <x:c r="N47" s="3" t="str"/>
      <x:c r="O47" s="3" t="str"/>
      <x:c r="P47" s="3" t="str">
        <x:v>Confirmar</x:v>
      </x:c>
      <x:c r="Q47" s="4" t="str"/>
      <x:c r="R47" s="3" t="str"/>
    </x:row>
    <x:row r="48">
      <x:c r="A48" s="3" t="str"/>
      <x:c r="B48" s="3" t="str"/>
      <x:c r="C48" s="3" t="str"/>
      <x:c r="D48" s="3" t="str"/>
      <x:c r="E48" s="3" t="str"/>
      <x:c r="F48" s="3" t="str"/>
      <x:c r="G48" s="3" t="str"/>
      <x:c r="H48" s="3" t="str"/>
      <x:c r="I48" s="3" t="str"/>
      <x:c r="J48" s="3" t="str"/>
      <x:c r="K48" s="3" t="str">
        <x:v>Belo Horizonte</x:v>
      </x:c>
      <x:c r="L48" s="3" t="str">
        <x:v>MG</x:v>
      </x:c>
      <x:c r="M48" s="3" t="str"/>
      <x:c r="N48" s="3" t="str"/>
      <x:c r="O48" s="3" t="str"/>
      <x:c r="P48" s="3" t="str">
        <x:v>Confirmar</x:v>
      </x:c>
      <x:c r="Q48" s="4" t="str"/>
      <x:c r="R48" s="3" t="str"/>
    </x:row>
    <x:row r="49">
      <x:c r="A49" s="3" t="str"/>
      <x:c r="B49" s="3" t="str"/>
      <x:c r="C49" s="3" t="str"/>
      <x:c r="D49" s="3" t="str"/>
      <x:c r="E49" s="3" t="str"/>
      <x:c r="F49" s="3" t="str"/>
      <x:c r="G49" s="3" t="str"/>
      <x:c r="H49" s="3" t="str"/>
      <x:c r="I49" s="3" t="str"/>
      <x:c r="J49" s="3" t="str"/>
      <x:c r="K49" s="3" t="str">
        <x:v>Belo Horizonte</x:v>
      </x:c>
      <x:c r="L49" s="3" t="str">
        <x:v>MG</x:v>
      </x:c>
      <x:c r="M49" s="3" t="str"/>
      <x:c r="N49" s="3" t="str"/>
      <x:c r="O49" s="3" t="str"/>
      <x:c r="P49" s="3" t="str">
        <x:v>Confirmar</x:v>
      </x:c>
      <x:c r="Q49" s="4" t="str"/>
      <x:c r="R49" s="3" t="str"/>
    </x:row>
    <x:row r="50">
      <x:c r="A50" s="3" t="str"/>
      <x:c r="B50" s="3" t="str"/>
      <x:c r="C50" s="3" t="str"/>
      <x:c r="D50" s="3" t="str"/>
      <x:c r="E50" s="3" t="str"/>
      <x:c r="F50" s="3" t="str"/>
      <x:c r="G50" s="3" t="str"/>
      <x:c r="H50" s="3" t="str"/>
      <x:c r="I50" s="3" t="str"/>
      <x:c r="J50" s="3" t="str"/>
      <x:c r="K50" s="3" t="str">
        <x:v>Belo Horizonte</x:v>
      </x:c>
      <x:c r="L50" s="3" t="str">
        <x:v>MG</x:v>
      </x:c>
      <x:c r="M50" s="3" t="str"/>
      <x:c r="N50" s="3" t="str"/>
      <x:c r="O50" s="3" t="str"/>
      <x:c r="P50" s="3" t="str">
        <x:v>Confirmar</x:v>
      </x:c>
      <x:c r="Q50" s="4" t="str"/>
      <x:c r="R50" s="3" t="str"/>
    </x:row>
    <x:row r="51">
      <x:c r="A51" s="3" t="str"/>
      <x:c r="B51" s="3" t="str"/>
      <x:c r="C51" s="3" t="str"/>
      <x:c r="D51" s="3" t="str"/>
      <x:c r="E51" s="3" t="str"/>
      <x:c r="F51" s="3" t="str"/>
      <x:c r="G51" s="3" t="str"/>
      <x:c r="H51" s="3" t="str"/>
      <x:c r="I51" s="3" t="str"/>
      <x:c r="J51" s="3" t="str"/>
      <x:c r="K51" s="3" t="str">
        <x:v>Belo Horizonte</x:v>
      </x:c>
      <x:c r="L51" s="3" t="str">
        <x:v>MG</x:v>
      </x:c>
      <x:c r="M51" s="3" t="str"/>
      <x:c r="N51" s="3" t="str"/>
      <x:c r="O51" s="3" t="str"/>
      <x:c r="P51" s="3" t="str">
        <x:v>Confirmar</x:v>
      </x:c>
      <x:c r="Q51" s="4" t="str"/>
      <x:c r="R51" s="3" t="str"/>
    </x:row>
    <x:row r="52">
      <x:c r="A52" s="3" t="str"/>
      <x:c r="B52" s="3" t="str"/>
      <x:c r="C52" s="3" t="str"/>
      <x:c r="D52" s="3" t="str"/>
      <x:c r="E52" s="3" t="str"/>
      <x:c r="F52" s="3" t="str"/>
      <x:c r="G52" s="3" t="str"/>
      <x:c r="H52" s="3" t="str"/>
      <x:c r="I52" s="3" t="str"/>
      <x:c r="J52" s="3" t="str"/>
      <x:c r="K52" s="3" t="str">
        <x:v>Belo Horizonte</x:v>
      </x:c>
      <x:c r="L52" s="3" t="str">
        <x:v>MG</x:v>
      </x:c>
      <x:c r="M52" s="3" t="str"/>
      <x:c r="N52" s="3" t="str"/>
      <x:c r="O52" s="3" t="str"/>
      <x:c r="P52" s="3" t="str">
        <x:v>Confirmar</x:v>
      </x:c>
      <x:c r="Q52" s="4" t="str"/>
      <x:c r="R52" s="3" t="str"/>
    </x:row>
    <x:row r="53">
      <x:c r="A53" s="3" t="str"/>
      <x:c r="B53" s="3" t="str"/>
      <x:c r="C53" s="3" t="str"/>
      <x:c r="D53" s="3" t="str"/>
      <x:c r="E53" s="3" t="str"/>
      <x:c r="F53" s="3" t="str"/>
      <x:c r="G53" s="3" t="str"/>
      <x:c r="H53" s="3" t="str"/>
      <x:c r="I53" s="3" t="str"/>
      <x:c r="J53" s="3" t="str"/>
      <x:c r="K53" s="3" t="str">
        <x:v>Belo Horizonte</x:v>
      </x:c>
      <x:c r="L53" s="3" t="str">
        <x:v>MG</x:v>
      </x:c>
      <x:c r="M53" s="3" t="str"/>
      <x:c r="N53" s="3" t="str"/>
      <x:c r="O53" s="3" t="str"/>
      <x:c r="P53" s="3" t="str">
        <x:v>Confirmar</x:v>
      </x:c>
      <x:c r="Q53" s="4" t="str"/>
      <x:c r="R53" s="3" t="str"/>
    </x:row>
    <x:row r="54">
      <x:c r="A54" s="3" t="str"/>
      <x:c r="B54" s="3" t="str"/>
      <x:c r="C54" s="3" t="str"/>
      <x:c r="D54" s="3" t="str"/>
      <x:c r="E54" s="3" t="str"/>
      <x:c r="F54" s="3" t="str"/>
      <x:c r="G54" s="3" t="str"/>
      <x:c r="H54" s="3" t="str"/>
      <x:c r="I54" s="3" t="str"/>
      <x:c r="J54" s="3" t="str"/>
      <x:c r="K54" s="3" t="str">
        <x:v>Belo Horizonte</x:v>
      </x:c>
      <x:c r="L54" s="3" t="str">
        <x:v>MG</x:v>
      </x:c>
      <x:c r="M54" s="3" t="str"/>
      <x:c r="N54" s="3" t="str"/>
      <x:c r="O54" s="3" t="str"/>
      <x:c r="P54" s="3" t="str">
        <x:v>Confirmar</x:v>
      </x:c>
      <x:c r="Q54" s="4" t="str"/>
      <x:c r="R54" s="3" t="str"/>
    </x:row>
    <x:row r="55">
      <x:c r="A55" s="3" t="str"/>
      <x:c r="B55" s="3" t="str"/>
      <x:c r="C55" s="3" t="str"/>
      <x:c r="D55" s="3" t="str"/>
      <x:c r="E55" s="3" t="str"/>
      <x:c r="F55" s="3" t="str"/>
      <x:c r="G55" s="3" t="str"/>
      <x:c r="H55" s="3" t="str"/>
      <x:c r="I55" s="3" t="str"/>
      <x:c r="J55" s="3" t="str"/>
      <x:c r="K55" s="3" t="str">
        <x:v>Belo Horizonte</x:v>
      </x:c>
      <x:c r="L55" s="3" t="str">
        <x:v>MG</x:v>
      </x:c>
      <x:c r="M55" s="3" t="str"/>
      <x:c r="N55" s="3" t="str"/>
      <x:c r="O55" s="3" t="str"/>
      <x:c r="P55" s="3" t="str">
        <x:v>Confirmar</x:v>
      </x:c>
      <x:c r="Q55" s="4" t="str"/>
      <x:c r="R55" s="3" t="str"/>
    </x:row>
    <x:row r="56">
      <x:c r="A56" s="3" t="str"/>
      <x:c r="B56" s="3" t="str"/>
      <x:c r="C56" s="3" t="str"/>
      <x:c r="D56" s="3" t="str"/>
      <x:c r="E56" s="3" t="str"/>
      <x:c r="F56" s="3" t="str"/>
      <x:c r="G56" s="3" t="str"/>
      <x:c r="H56" s="3" t="str"/>
      <x:c r="I56" s="3" t="str"/>
      <x:c r="J56" s="3" t="str"/>
      <x:c r="K56" s="3" t="str">
        <x:v>Belo Horizonte</x:v>
      </x:c>
      <x:c r="L56" s="3" t="str">
        <x:v>MG</x:v>
      </x:c>
      <x:c r="M56" s="3" t="str"/>
      <x:c r="N56" s="3" t="str"/>
      <x:c r="O56" s="3" t="str"/>
      <x:c r="P56" s="3" t="str">
        <x:v>Confirmar</x:v>
      </x:c>
      <x:c r="Q56" s="4" t="str"/>
      <x:c r="R56" s="3" t="str"/>
    </x:row>
    <x:row r="57">
      <x:c r="A57" s="3" t="str"/>
      <x:c r="B57" s="3" t="str"/>
      <x:c r="C57" s="3" t="str"/>
      <x:c r="D57" s="3" t="str"/>
      <x:c r="E57" s="3" t="str"/>
      <x:c r="F57" s="3" t="str"/>
      <x:c r="G57" s="3" t="str"/>
      <x:c r="H57" s="3" t="str"/>
      <x:c r="I57" s="3" t="str"/>
      <x:c r="J57" s="3" t="str"/>
      <x:c r="K57" s="3" t="str">
        <x:v>Belo Horizonte</x:v>
      </x:c>
      <x:c r="L57" s="3" t="str">
        <x:v>MG</x:v>
      </x:c>
      <x:c r="M57" s="3" t="str"/>
      <x:c r="N57" s="3" t="str"/>
      <x:c r="O57" s="3" t="str"/>
      <x:c r="P57" s="3" t="str">
        <x:v>Confirmar</x:v>
      </x:c>
      <x:c r="Q57" s="4" t="str"/>
      <x:c r="R57" s="3" t="str"/>
    </x:row>
    <x:row r="58">
      <x:c r="A58" s="3" t="str"/>
      <x:c r="B58" s="3" t="str"/>
      <x:c r="C58" s="3" t="str"/>
      <x:c r="D58" s="3" t="str"/>
      <x:c r="E58" s="3" t="str"/>
      <x:c r="F58" s="3" t="str"/>
      <x:c r="G58" s="3" t="str"/>
      <x:c r="H58" s="3" t="str"/>
      <x:c r="I58" s="3" t="str"/>
      <x:c r="J58" s="3" t="str"/>
      <x:c r="K58" s="3" t="str">
        <x:v>Belo Horizonte</x:v>
      </x:c>
      <x:c r="L58" s="3" t="str">
        <x:v>MG</x:v>
      </x:c>
      <x:c r="M58" s="3" t="str"/>
      <x:c r="N58" s="3" t="str"/>
      <x:c r="O58" s="3" t="str"/>
      <x:c r="P58" s="3" t="str">
        <x:v>Confirmar</x:v>
      </x:c>
      <x:c r="Q58" s="4" t="str"/>
      <x:c r="R58" s="3" t="str"/>
    </x:row>
    <x:row r="59">
      <x:c r="A59" s="3" t="str"/>
      <x:c r="B59" s="3" t="str"/>
      <x:c r="C59" s="3" t="str"/>
      <x:c r="D59" s="3" t="str"/>
      <x:c r="E59" s="3" t="str"/>
      <x:c r="F59" s="3" t="str"/>
      <x:c r="G59" s="3" t="str"/>
      <x:c r="H59" s="3" t="str"/>
      <x:c r="I59" s="3" t="str"/>
      <x:c r="J59" s="3" t="str"/>
      <x:c r="K59" s="3" t="str">
        <x:v>Belo Horizonte</x:v>
      </x:c>
      <x:c r="L59" s="3" t="str">
        <x:v>MG</x:v>
      </x:c>
      <x:c r="M59" s="3" t="str"/>
      <x:c r="N59" s="3" t="str"/>
      <x:c r="O59" s="3" t="str"/>
      <x:c r="P59" s="3" t="str">
        <x:v>Confirmar</x:v>
      </x:c>
      <x:c r="Q59" s="4" t="str"/>
      <x:c r="R59" s="3" t="str"/>
    </x:row>
    <x:row r="60">
      <x:c r="A60" s="3" t="str"/>
      <x:c r="B60" s="3" t="str"/>
      <x:c r="C60" s="3" t="str"/>
      <x:c r="D60" s="3" t="str"/>
      <x:c r="E60" s="3" t="str"/>
      <x:c r="F60" s="3" t="str"/>
      <x:c r="G60" s="3" t="str"/>
      <x:c r="H60" s="3" t="str"/>
      <x:c r="I60" s="3" t="str"/>
      <x:c r="J60" s="3" t="str"/>
      <x:c r="K60" s="3" t="str">
        <x:v>Belo Horizonte</x:v>
      </x:c>
      <x:c r="L60" s="3" t="str">
        <x:v>MG</x:v>
      </x:c>
      <x:c r="M60" s="3" t="str"/>
      <x:c r="N60" s="3" t="str"/>
      <x:c r="O60" s="3" t="str"/>
      <x:c r="P60" s="3" t="str">
        <x:v>Confirmar</x:v>
      </x:c>
      <x:c r="Q60" s="4" t="str"/>
      <x:c r="R60" s="3" t="str"/>
    </x:row>
    <x:row r="61">
      <x:c r="A61" s="3" t="str"/>
      <x:c r="B61" s="3" t="str"/>
      <x:c r="C61" s="3" t="str"/>
      <x:c r="D61" s="3" t="str"/>
      <x:c r="E61" s="3" t="str"/>
      <x:c r="F61" s="3" t="str"/>
      <x:c r="G61" s="3" t="str"/>
      <x:c r="H61" s="3" t="str"/>
      <x:c r="I61" s="3" t="str"/>
      <x:c r="J61" s="3" t="str"/>
      <x:c r="K61" s="3" t="str">
        <x:v>Belo Horizonte</x:v>
      </x:c>
      <x:c r="L61" s="3" t="str">
        <x:v>MG</x:v>
      </x:c>
      <x:c r="M61" s="3" t="str"/>
      <x:c r="N61" s="3" t="str"/>
      <x:c r="O61" s="3" t="str"/>
      <x:c r="P61" s="3" t="str">
        <x:v>Confirmar</x:v>
      </x:c>
      <x:c r="Q61" s="4" t="str"/>
      <x:c r="R61" s="3" t="str"/>
    </x:row>
    <x:row r="62">
      <x:c r="A62" s="3" t="str"/>
      <x:c r="B62" s="3" t="str"/>
      <x:c r="C62" s="3" t="str"/>
      <x:c r="D62" s="3" t="str"/>
      <x:c r="E62" s="3" t="str"/>
      <x:c r="F62" s="3" t="str"/>
      <x:c r="G62" s="3" t="str"/>
      <x:c r="H62" s="3" t="str"/>
      <x:c r="I62" s="3" t="str"/>
      <x:c r="J62" s="3" t="str"/>
      <x:c r="K62" s="3" t="str">
        <x:v>Belo Horizonte</x:v>
      </x:c>
      <x:c r="L62" s="3" t="str">
        <x:v>MG</x:v>
      </x:c>
      <x:c r="M62" s="3" t="str"/>
      <x:c r="N62" s="3" t="str"/>
      <x:c r="O62" s="3" t="str"/>
      <x:c r="P62" s="3" t="str">
        <x:v>Confirmar</x:v>
      </x:c>
      <x:c r="Q62" s="4" t="str"/>
      <x:c r="R62" s="3" t="str"/>
    </x:row>
    <x:row r="63">
      <x:c r="A63" s="3" t="str"/>
      <x:c r="B63" s="3" t="str"/>
      <x:c r="C63" s="3" t="str"/>
      <x:c r="D63" s="3" t="str"/>
      <x:c r="E63" s="3" t="str"/>
      <x:c r="F63" s="3" t="str"/>
      <x:c r="G63" s="3" t="str"/>
      <x:c r="H63" s="3" t="str"/>
      <x:c r="I63" s="3" t="str"/>
      <x:c r="J63" s="3" t="str"/>
      <x:c r="K63" s="3" t="str">
        <x:v>Belo Horizonte</x:v>
      </x:c>
      <x:c r="L63" s="3" t="str">
        <x:v>MG</x:v>
      </x:c>
      <x:c r="M63" s="3" t="str"/>
      <x:c r="N63" s="3" t="str"/>
      <x:c r="O63" s="3" t="str"/>
      <x:c r="P63" s="3" t="str">
        <x:v>Confirmar</x:v>
      </x:c>
      <x:c r="Q63" s="4" t="str"/>
      <x:c r="R63" s="3" t="str"/>
    </x:row>
    <x:row r="64">
      <x:c r="A64" s="3" t="str"/>
      <x:c r="B64" s="3" t="str"/>
      <x:c r="C64" s="3" t="str"/>
      <x:c r="D64" s="3" t="str"/>
      <x:c r="E64" s="3" t="str"/>
      <x:c r="F64" s="3" t="str"/>
      <x:c r="G64" s="3" t="str"/>
      <x:c r="H64" s="3" t="str"/>
      <x:c r="I64" s="3" t="str"/>
      <x:c r="J64" s="3" t="str"/>
      <x:c r="K64" s="3" t="str">
        <x:v>Belo Horizonte</x:v>
      </x:c>
      <x:c r="L64" s="3" t="str">
        <x:v>MG</x:v>
      </x:c>
      <x:c r="M64" s="3" t="str"/>
      <x:c r="N64" s="3" t="str"/>
      <x:c r="O64" s="3" t="str"/>
      <x:c r="P64" s="3" t="str">
        <x:v>Confirmar</x:v>
      </x:c>
      <x:c r="Q64" s="4" t="str"/>
      <x:c r="R64" s="3" t="str"/>
    </x:row>
    <x:row r="65">
      <x:c r="A65" s="3" t="str"/>
      <x:c r="B65" s="3" t="str"/>
      <x:c r="C65" s="3" t="str"/>
      <x:c r="D65" s="3" t="str"/>
      <x:c r="E65" s="3" t="str"/>
      <x:c r="F65" s="3" t="str"/>
      <x:c r="G65" s="3" t="str"/>
      <x:c r="H65" s="3" t="str"/>
      <x:c r="I65" s="3" t="str"/>
      <x:c r="J65" s="3" t="str"/>
      <x:c r="K65" s="3" t="str">
        <x:v>Belo Horizonte</x:v>
      </x:c>
      <x:c r="L65" s="3" t="str">
        <x:v>MG</x:v>
      </x:c>
      <x:c r="M65" s="3" t="str"/>
      <x:c r="N65" s="3" t="str"/>
      <x:c r="O65" s="3" t="str"/>
      <x:c r="P65" s="3" t="str">
        <x:v>Confirmar</x:v>
      </x:c>
      <x:c r="Q65" s="4" t="str"/>
      <x:c r="R65" s="3" t="str"/>
    </x:row>
    <x:row r="66">
      <x:c r="A66" s="3" t="str"/>
      <x:c r="B66" s="3" t="str"/>
      <x:c r="C66" s="3" t="str"/>
      <x:c r="D66" s="3" t="str"/>
      <x:c r="E66" s="3" t="str"/>
      <x:c r="F66" s="3" t="str"/>
      <x:c r="G66" s="3" t="str"/>
      <x:c r="H66" s="3" t="str"/>
      <x:c r="I66" s="3" t="str"/>
      <x:c r="J66" s="3" t="str"/>
      <x:c r="K66" s="3" t="str">
        <x:v>Belo Horizonte</x:v>
      </x:c>
      <x:c r="L66" s="3" t="str">
        <x:v>MG</x:v>
      </x:c>
      <x:c r="M66" s="3" t="str"/>
      <x:c r="N66" s="3" t="str"/>
      <x:c r="O66" s="3" t="str"/>
      <x:c r="P66" s="3" t="str">
        <x:v>Confirmar</x:v>
      </x:c>
      <x:c r="Q66" s="4" t="str"/>
      <x:c r="R66" s="3" t="str"/>
    </x:row>
    <x:row r="67">
      <x:c r="A67" s="3" t="str"/>
      <x:c r="B67" s="3" t="str"/>
      <x:c r="C67" s="3" t="str"/>
      <x:c r="D67" s="3" t="str"/>
      <x:c r="E67" s="3" t="str"/>
      <x:c r="F67" s="3" t="str"/>
      <x:c r="G67" s="3" t="str"/>
      <x:c r="H67" s="3" t="str"/>
      <x:c r="I67" s="3" t="str"/>
      <x:c r="J67" s="3" t="str"/>
      <x:c r="K67" s="3" t="str">
        <x:v>Belo Horizonte</x:v>
      </x:c>
      <x:c r="L67" s="3" t="str">
        <x:v>MG</x:v>
      </x:c>
      <x:c r="M67" s="3" t="str"/>
      <x:c r="N67" s="3" t="str"/>
      <x:c r="O67" s="3" t="str"/>
      <x:c r="P67" s="3" t="str">
        <x:v>Confirmar</x:v>
      </x:c>
      <x:c r="Q67" s="4" t="str"/>
      <x:c r="R67" s="3" t="str"/>
    </x:row>
    <x:row r="68">
      <x:c r="A68" s="3" t="str"/>
      <x:c r="B68" s="3" t="str"/>
      <x:c r="C68" s="3" t="str"/>
      <x:c r="D68" s="3" t="str"/>
      <x:c r="E68" s="3" t="str"/>
      <x:c r="F68" s="3" t="str"/>
      <x:c r="G68" s="3" t="str"/>
      <x:c r="H68" s="3" t="str"/>
      <x:c r="I68" s="3" t="str"/>
      <x:c r="J68" s="3" t="str"/>
      <x:c r="K68" s="3" t="str">
        <x:v>Belo Horizonte</x:v>
      </x:c>
      <x:c r="L68" s="3" t="str">
        <x:v>MG</x:v>
      </x:c>
      <x:c r="M68" s="3" t="str"/>
      <x:c r="N68" s="3" t="str"/>
      <x:c r="O68" s="3" t="str"/>
      <x:c r="P68" s="3" t="str">
        <x:v>Confirmar</x:v>
      </x:c>
      <x:c r="Q68" s="4" t="str"/>
      <x:c r="R68" s="3" t="str"/>
    </x:row>
    <x:row r="69">
      <x:c r="A69" s="3" t="str"/>
      <x:c r="B69" s="3" t="str"/>
      <x:c r="C69" s="3" t="str"/>
      <x:c r="D69" s="3" t="str"/>
      <x:c r="E69" s="3" t="str"/>
      <x:c r="F69" s="3" t="str"/>
      <x:c r="G69" s="3" t="str"/>
      <x:c r="H69" s="3" t="str"/>
      <x:c r="I69" s="3" t="str"/>
      <x:c r="J69" s="3" t="str"/>
      <x:c r="K69" s="3" t="str">
        <x:v>Belo Horizonte</x:v>
      </x:c>
      <x:c r="L69" s="3" t="str">
        <x:v>MG</x:v>
      </x:c>
      <x:c r="M69" s="3" t="str"/>
      <x:c r="N69" s="3" t="str"/>
      <x:c r="O69" s="3" t="str"/>
      <x:c r="P69" s="3" t="str">
        <x:v>Confirmar</x:v>
      </x:c>
      <x:c r="Q69" s="4" t="str"/>
      <x:c r="R69" s="3" t="str"/>
    </x:row>
    <x:row r="70">
      <x:c r="A70" s="3" t="str"/>
      <x:c r="B70" s="3" t="str"/>
      <x:c r="C70" s="3" t="str"/>
      <x:c r="D70" s="3" t="str"/>
      <x:c r="E70" s="3" t="str"/>
      <x:c r="F70" s="3" t="str"/>
      <x:c r="G70" s="3" t="str"/>
      <x:c r="H70" s="3" t="str"/>
      <x:c r="I70" s="3" t="str"/>
      <x:c r="J70" s="3" t="str"/>
      <x:c r="K70" s="3" t="str">
        <x:v>Belo Horizonte</x:v>
      </x:c>
      <x:c r="L70" s="3" t="str">
        <x:v>MG</x:v>
      </x:c>
      <x:c r="M70" s="3" t="str"/>
      <x:c r="N70" s="3" t="str"/>
      <x:c r="O70" s="3" t="str"/>
      <x:c r="P70" s="3" t="str">
        <x:v>Confirmar</x:v>
      </x:c>
      <x:c r="Q70" s="4" t="str"/>
      <x:c r="R70" s="3" t="str"/>
    </x:row>
    <x:row r="71">
      <x:c r="A71" s="3" t="str"/>
      <x:c r="B71" s="3" t="str"/>
      <x:c r="C71" s="3" t="str"/>
      <x:c r="D71" s="3" t="str"/>
      <x:c r="E71" s="3" t="str"/>
      <x:c r="F71" s="3" t="str"/>
      <x:c r="G71" s="3" t="str"/>
      <x:c r="H71" s="3" t="str"/>
      <x:c r="I71" s="3" t="str"/>
      <x:c r="J71" s="3" t="str"/>
      <x:c r="K71" s="3" t="str">
        <x:v>Belo Horizonte</x:v>
      </x:c>
      <x:c r="L71" s="3" t="str">
        <x:v>MG</x:v>
      </x:c>
      <x:c r="M71" s="3" t="str"/>
      <x:c r="N71" s="3" t="str"/>
      <x:c r="O71" s="3" t="str"/>
      <x:c r="P71" s="3" t="str">
        <x:v>Confirmar</x:v>
      </x:c>
      <x:c r="Q71" s="4" t="str"/>
      <x:c r="R71" s="3" t="str"/>
    </x:row>
    <x:row r="72">
      <x:c r="A72" s="3" t="str"/>
      <x:c r="B72" s="3" t="str"/>
      <x:c r="C72" s="3" t="str"/>
      <x:c r="D72" s="3" t="str"/>
      <x:c r="E72" s="3" t="str"/>
      <x:c r="F72" s="3" t="str"/>
      <x:c r="G72" s="3" t="str"/>
      <x:c r="H72" s="3" t="str"/>
      <x:c r="I72" s="3" t="str"/>
      <x:c r="J72" s="3" t="str"/>
      <x:c r="K72" s="3" t="str">
        <x:v>Belo Horizonte</x:v>
      </x:c>
      <x:c r="L72" s="3" t="str">
        <x:v>MG</x:v>
      </x:c>
      <x:c r="M72" s="3" t="str"/>
      <x:c r="N72" s="3" t="str"/>
      <x:c r="O72" s="3" t="str"/>
      <x:c r="P72" s="3" t="str">
        <x:v>Confirmar</x:v>
      </x:c>
      <x:c r="Q72" s="4" t="str"/>
      <x:c r="R72" s="3" t="str"/>
    </x:row>
    <x:row r="73">
      <x:c r="A73" s="3" t="str"/>
      <x:c r="B73" s="3" t="str"/>
      <x:c r="C73" s="3" t="str"/>
      <x:c r="D73" s="3" t="str"/>
      <x:c r="E73" s="3" t="str"/>
      <x:c r="F73" s="3" t="str"/>
      <x:c r="G73" s="3" t="str"/>
      <x:c r="H73" s="3" t="str"/>
      <x:c r="I73" s="3" t="str"/>
      <x:c r="J73" s="3" t="str"/>
      <x:c r="K73" s="3" t="str">
        <x:v>Belo Horizonte</x:v>
      </x:c>
      <x:c r="L73" s="3" t="str">
        <x:v>MG</x:v>
      </x:c>
      <x:c r="M73" s="3" t="str"/>
      <x:c r="N73" s="3" t="str"/>
      <x:c r="O73" s="3" t="str"/>
      <x:c r="P73" s="3" t="str">
        <x:v>Confirmar</x:v>
      </x:c>
      <x:c r="Q73" s="4" t="str"/>
      <x:c r="R73" s="3" t="str"/>
    </x:row>
    <x:row r="74">
      <x:c r="A74" s="3" t="str"/>
      <x:c r="B74" s="3" t="str"/>
      <x:c r="C74" s="3" t="str"/>
      <x:c r="D74" s="3" t="str"/>
      <x:c r="E74" s="3" t="str"/>
      <x:c r="F74" s="3" t="str"/>
      <x:c r="G74" s="3" t="str"/>
      <x:c r="H74" s="3" t="str"/>
      <x:c r="I74" s="3" t="str"/>
      <x:c r="J74" s="3" t="str"/>
      <x:c r="K74" s="3" t="str">
        <x:v>Belo Horizonte</x:v>
      </x:c>
      <x:c r="L74" s="3" t="str">
        <x:v>MG</x:v>
      </x:c>
      <x:c r="M74" s="3" t="str"/>
      <x:c r="N74" s="3" t="str"/>
      <x:c r="O74" s="3" t="str"/>
      <x:c r="P74" s="3" t="str">
        <x:v>Confirmar</x:v>
      </x:c>
      <x:c r="Q74" s="4" t="str"/>
      <x:c r="R74" s="3" t="str"/>
    </x:row>
    <x:row r="75">
      <x:c r="A75" s="3" t="str"/>
      <x:c r="B75" s="3" t="str"/>
      <x:c r="C75" s="3" t="str"/>
      <x:c r="D75" s="3" t="str"/>
      <x:c r="E75" s="3" t="str"/>
      <x:c r="F75" s="3" t="str"/>
      <x:c r="G75" s="3" t="str"/>
      <x:c r="H75" s="3" t="str"/>
      <x:c r="I75" s="3" t="str"/>
      <x:c r="J75" s="3" t="str"/>
      <x:c r="K75" s="3" t="str">
        <x:v>Belo Horizonte</x:v>
      </x:c>
      <x:c r="L75" s="3" t="str">
        <x:v>MG</x:v>
      </x:c>
      <x:c r="M75" s="3" t="str"/>
      <x:c r="N75" s="3" t="str"/>
      <x:c r="O75" s="3" t="str"/>
      <x:c r="P75" s="3" t="str">
        <x:v>Confirmar</x:v>
      </x:c>
      <x:c r="Q75" s="4" t="str"/>
      <x:c r="R75" s="3" t="str"/>
    </x:row>
    <x:row r="76">
      <x:c r="A76" s="3" t="str"/>
      <x:c r="B76" s="3" t="str"/>
      <x:c r="C76" s="3" t="str"/>
      <x:c r="D76" s="3" t="str"/>
      <x:c r="E76" s="3" t="str"/>
      <x:c r="F76" s="3" t="str"/>
      <x:c r="G76" s="3" t="str"/>
      <x:c r="H76" s="3" t="str"/>
      <x:c r="I76" s="3" t="str"/>
      <x:c r="J76" s="3" t="str"/>
      <x:c r="K76" s="3" t="str">
        <x:v>Belo Horizonte</x:v>
      </x:c>
      <x:c r="L76" s="3" t="str">
        <x:v>MG</x:v>
      </x:c>
      <x:c r="M76" s="3" t="str"/>
      <x:c r="N76" s="3" t="str"/>
      <x:c r="O76" s="3" t="str"/>
      <x:c r="P76" s="3" t="str">
        <x:v>Confirmar</x:v>
      </x:c>
      <x:c r="Q76" s="4" t="str"/>
      <x:c r="R76" s="3" t="str"/>
    </x:row>
    <x:row r="77">
      <x:c r="A77" s="3" t="str"/>
      <x:c r="B77" s="3" t="str"/>
      <x:c r="C77" s="3" t="str"/>
      <x:c r="D77" s="3" t="str"/>
      <x:c r="E77" s="3" t="str"/>
      <x:c r="F77" s="3" t="str"/>
      <x:c r="G77" s="3" t="str"/>
      <x:c r="H77" s="3" t="str"/>
      <x:c r="I77" s="3" t="str"/>
      <x:c r="J77" s="3" t="str"/>
      <x:c r="K77" s="3" t="str">
        <x:v>Belo Horizonte</x:v>
      </x:c>
      <x:c r="L77" s="3" t="str">
        <x:v>MG</x:v>
      </x:c>
      <x:c r="M77" s="3" t="str"/>
      <x:c r="N77" s="3" t="str"/>
      <x:c r="O77" s="3" t="str"/>
      <x:c r="P77" s="3" t="str">
        <x:v>Confirmar</x:v>
      </x:c>
      <x:c r="Q77" s="4" t="str"/>
      <x:c r="R77" s="3" t="str"/>
    </x:row>
    <x:row r="78">
      <x:c r="A78" s="3" t="str"/>
      <x:c r="B78" s="3" t="str"/>
      <x:c r="C78" s="3" t="str"/>
      <x:c r="D78" s="3" t="str"/>
      <x:c r="E78" s="3" t="str"/>
      <x:c r="F78" s="3" t="str"/>
      <x:c r="G78" s="3" t="str"/>
      <x:c r="H78" s="3" t="str"/>
      <x:c r="I78" s="3" t="str"/>
      <x:c r="J78" s="3" t="str"/>
      <x:c r="K78" s="3" t="str">
        <x:v>Belo Horizonte</x:v>
      </x:c>
      <x:c r="L78" s="3" t="str">
        <x:v>MG</x:v>
      </x:c>
      <x:c r="M78" s="3" t="str"/>
      <x:c r="N78" s="3" t="str"/>
      <x:c r="O78" s="3" t="str"/>
      <x:c r="P78" s="3" t="str">
        <x:v>Confirmar</x:v>
      </x:c>
      <x:c r="Q78" s="4" t="str"/>
      <x:c r="R78" s="3" t="str"/>
    </x:row>
    <x:row r="79">
      <x:c r="A79" s="3" t="str"/>
      <x:c r="B79" s="3" t="str"/>
      <x:c r="C79" s="3" t="str"/>
      <x:c r="D79" s="3" t="str"/>
      <x:c r="E79" s="3" t="str"/>
      <x:c r="F79" s="3" t="str"/>
      <x:c r="G79" s="3" t="str"/>
      <x:c r="H79" s="3" t="str"/>
      <x:c r="I79" s="3" t="str"/>
      <x:c r="J79" s="3" t="str"/>
      <x:c r="K79" s="3" t="str">
        <x:v>Belo Horizonte</x:v>
      </x:c>
      <x:c r="L79" s="3" t="str">
        <x:v>MG</x:v>
      </x:c>
      <x:c r="M79" s="3" t="str"/>
      <x:c r="N79" s="3" t="str"/>
      <x:c r="O79" s="3" t="str"/>
      <x:c r="P79" s="3" t="str">
        <x:v>Confirmar</x:v>
      </x:c>
      <x:c r="Q79" s="4" t="str"/>
      <x:c r="R79" s="3" t="str"/>
    </x:row>
    <x:row r="80">
      <x:c r="A80" s="3" t="str"/>
      <x:c r="B80" s="3" t="str"/>
      <x:c r="C80" s="3" t="str"/>
      <x:c r="D80" s="3" t="str"/>
      <x:c r="E80" s="3" t="str"/>
      <x:c r="F80" s="3" t="str"/>
      <x:c r="G80" s="3" t="str"/>
      <x:c r="H80" s="3" t="str"/>
      <x:c r="I80" s="3" t="str"/>
      <x:c r="J80" s="3" t="str"/>
      <x:c r="K80" s="3" t="str">
        <x:v>Belo Horizonte</x:v>
      </x:c>
      <x:c r="L80" s="3" t="str">
        <x:v>MG</x:v>
      </x:c>
      <x:c r="M80" s="3" t="str"/>
      <x:c r="N80" s="3" t="str"/>
      <x:c r="O80" s="3" t="str"/>
      <x:c r="P80" s="3" t="str">
        <x:v>Confirmar</x:v>
      </x:c>
      <x:c r="Q80" s="4" t="str"/>
      <x:c r="R80" s="3" t="str"/>
    </x:row>
    <x:row r="81">
      <x:c r="A81" s="3" t="str"/>
      <x:c r="B81" s="3" t="str"/>
      <x:c r="C81" s="3" t="str"/>
      <x:c r="D81" s="3" t="str"/>
      <x:c r="E81" s="3" t="str"/>
      <x:c r="F81" s="3" t="str"/>
      <x:c r="G81" s="3" t="str"/>
      <x:c r="H81" s="3" t="str"/>
      <x:c r="I81" s="3" t="str"/>
      <x:c r="J81" s="3" t="str"/>
      <x:c r="K81" s="3" t="str">
        <x:v>Belo Horizonte</x:v>
      </x:c>
      <x:c r="L81" s="3" t="str">
        <x:v>MG</x:v>
      </x:c>
      <x:c r="M81" s="3" t="str"/>
      <x:c r="N81" s="3" t="str"/>
      <x:c r="O81" s="3" t="str"/>
      <x:c r="P81" s="3" t="str">
        <x:v>Confirmar</x:v>
      </x:c>
      <x:c r="Q81" s="4" t="str"/>
      <x:c r="R81" s="3" t="str"/>
    </x:row>
    <x:row r="82">
      <x:c r="A82" s="3" t="str"/>
      <x:c r="B82" s="3" t="str"/>
      <x:c r="C82" s="3" t="str"/>
      <x:c r="D82" s="3" t="str"/>
      <x:c r="E82" s="3" t="str"/>
      <x:c r="F82" s="3" t="str"/>
      <x:c r="G82" s="3" t="str"/>
      <x:c r="H82" s="3" t="str"/>
      <x:c r="I82" s="3" t="str"/>
      <x:c r="J82" s="3" t="str"/>
      <x:c r="K82" s="3" t="str">
        <x:v>Belo Horizonte</x:v>
      </x:c>
      <x:c r="L82" s="3" t="str">
        <x:v>MG</x:v>
      </x:c>
      <x:c r="M82" s="3" t="str"/>
      <x:c r="N82" s="3" t="str"/>
      <x:c r="O82" s="3" t="str"/>
      <x:c r="P82" s="3" t="str">
        <x:v>Confirmar</x:v>
      </x:c>
      <x:c r="Q82" s="4" t="str"/>
      <x:c r="R82" s="3" t="str"/>
    </x:row>
    <x:row r="83">
      <x:c r="A83" s="3" t="str"/>
      <x:c r="B83" s="3" t="str"/>
      <x:c r="C83" s="3" t="str"/>
      <x:c r="D83" s="3" t="str"/>
      <x:c r="E83" s="3" t="str"/>
      <x:c r="F83" s="3" t="str"/>
      <x:c r="G83" s="3" t="str"/>
      <x:c r="H83" s="3" t="str"/>
      <x:c r="I83" s="3" t="str"/>
      <x:c r="J83" s="3" t="str"/>
      <x:c r="K83" s="3" t="str">
        <x:v>Belo Horizonte</x:v>
      </x:c>
      <x:c r="L83" s="3" t="str">
        <x:v>MG</x:v>
      </x:c>
      <x:c r="M83" s="3" t="str"/>
      <x:c r="N83" s="3" t="str"/>
      <x:c r="O83" s="3" t="str"/>
      <x:c r="P83" s="3" t="str">
        <x:v>Confirmar</x:v>
      </x:c>
      <x:c r="Q83" s="4" t="str"/>
      <x:c r="R83" s="3" t="str"/>
    </x:row>
    <x:row r="84">
      <x:c r="A84" s="3" t="str"/>
      <x:c r="B84" s="3" t="str"/>
      <x:c r="C84" s="3" t="str"/>
      <x:c r="D84" s="3" t="str"/>
      <x:c r="E84" s="3" t="str"/>
      <x:c r="F84" s="3" t="str"/>
      <x:c r="G84" s="3" t="str"/>
      <x:c r="H84" s="3" t="str"/>
      <x:c r="I84" s="3" t="str"/>
      <x:c r="J84" s="3" t="str"/>
      <x:c r="K84" s="3" t="str">
        <x:v>Belo Horizonte</x:v>
      </x:c>
      <x:c r="L84" s="3" t="str">
        <x:v>MG</x:v>
      </x:c>
      <x:c r="M84" s="3" t="str"/>
      <x:c r="N84" s="3" t="str"/>
      <x:c r="O84" s="3" t="str"/>
      <x:c r="P84" s="3" t="str">
        <x:v>Confirmar</x:v>
      </x:c>
      <x:c r="Q84" s="4" t="str"/>
      <x:c r="R84" s="3" t="str"/>
    </x:row>
    <x:row r="85">
      <x:c r="A85" s="3" t="str"/>
      <x:c r="B85" s="3" t="str"/>
      <x:c r="C85" s="3" t="str"/>
      <x:c r="D85" s="3" t="str"/>
      <x:c r="E85" s="3" t="str"/>
      <x:c r="F85" s="3" t="str"/>
      <x:c r="G85" s="3" t="str"/>
      <x:c r="H85" s="3" t="str"/>
      <x:c r="I85" s="3" t="str"/>
      <x:c r="J85" s="3" t="str"/>
      <x:c r="K85" s="3" t="str">
        <x:v>Belo Horizonte</x:v>
      </x:c>
      <x:c r="L85" s="3" t="str">
        <x:v>MG</x:v>
      </x:c>
      <x:c r="M85" s="3" t="str"/>
      <x:c r="N85" s="3" t="str"/>
      <x:c r="O85" s="3" t="str"/>
      <x:c r="P85" s="3" t="str">
        <x:v>Confirmar</x:v>
      </x:c>
      <x:c r="Q85" s="4" t="str"/>
      <x:c r="R85" s="3" t="str"/>
    </x:row>
    <x:row r="86">
      <x:c r="A86" s="3" t="str"/>
      <x:c r="B86" s="3" t="str"/>
      <x:c r="C86" s="3" t="str"/>
      <x:c r="D86" s="3" t="str"/>
      <x:c r="E86" s="3" t="str"/>
      <x:c r="F86" s="3" t="str"/>
      <x:c r="G86" s="3" t="str"/>
      <x:c r="H86" s="3" t="str"/>
      <x:c r="I86" s="3" t="str"/>
      <x:c r="J86" s="3" t="str"/>
      <x:c r="K86" s="3" t="str">
        <x:v>Belo Horizonte</x:v>
      </x:c>
      <x:c r="L86" s="3" t="str">
        <x:v>MG</x:v>
      </x:c>
      <x:c r="M86" s="3" t="str"/>
      <x:c r="N86" s="3" t="str"/>
      <x:c r="O86" s="3" t="str"/>
      <x:c r="P86" s="3" t="str">
        <x:v>Confirmar</x:v>
      </x:c>
      <x:c r="Q86" s="4" t="str"/>
      <x:c r="R86" s="3" t="str"/>
    </x:row>
    <x:row r="87">
      <x:c r="A87" s="3" t="str"/>
      <x:c r="B87" s="3" t="str"/>
      <x:c r="C87" s="3" t="str"/>
      <x:c r="D87" s="3" t="str"/>
      <x:c r="E87" s="3" t="str"/>
      <x:c r="F87" s="3" t="str"/>
      <x:c r="G87" s="3" t="str"/>
      <x:c r="H87" s="3" t="str"/>
      <x:c r="I87" s="3" t="str"/>
      <x:c r="J87" s="3" t="str"/>
      <x:c r="K87" s="3" t="str">
        <x:v>Belo Horizonte</x:v>
      </x:c>
      <x:c r="L87" s="3" t="str">
        <x:v>MG</x:v>
      </x:c>
      <x:c r="M87" s="3" t="str"/>
      <x:c r="N87" s="3" t="str"/>
      <x:c r="O87" s="3" t="str"/>
      <x:c r="P87" s="3" t="str">
        <x:v>Confirmar</x:v>
      </x:c>
      <x:c r="Q87" s="4" t="str"/>
      <x:c r="R87" s="3" t="str"/>
    </x:row>
    <x:row r="88">
      <x:c r="A88" s="3" t="str"/>
      <x:c r="B88" s="3" t="str"/>
      <x:c r="C88" s="3" t="str"/>
      <x:c r="D88" s="3" t="str"/>
      <x:c r="E88" s="3" t="str"/>
      <x:c r="F88" s="3" t="str"/>
      <x:c r="G88" s="3" t="str"/>
      <x:c r="H88" s="3" t="str"/>
      <x:c r="I88" s="3" t="str"/>
      <x:c r="J88" s="3" t="str"/>
      <x:c r="K88" s="3" t="str">
        <x:v>Belo Horizonte</x:v>
      </x:c>
      <x:c r="L88" s="3" t="str">
        <x:v>MG</x:v>
      </x:c>
      <x:c r="M88" s="3" t="str"/>
      <x:c r="N88" s="3" t="str"/>
      <x:c r="O88" s="3" t="str"/>
      <x:c r="P88" s="3" t="str">
        <x:v>Confirmar</x:v>
      </x:c>
      <x:c r="Q88" s="4" t="str"/>
      <x:c r="R88" s="3" t="str"/>
    </x:row>
    <x:row r="89">
      <x:c r="A89" s="3" t="str"/>
      <x:c r="B89" s="3" t="str"/>
      <x:c r="C89" s="3" t="str"/>
      <x:c r="D89" s="3" t="str"/>
      <x:c r="E89" s="3" t="str"/>
      <x:c r="F89" s="3" t="str"/>
      <x:c r="G89" s="3" t="str"/>
      <x:c r="H89" s="3" t="str"/>
      <x:c r="I89" s="3" t="str"/>
      <x:c r="J89" s="3" t="str"/>
      <x:c r="K89" s="3" t="str">
        <x:v>Belo Horizonte</x:v>
      </x:c>
      <x:c r="L89" s="3" t="str">
        <x:v>MG</x:v>
      </x:c>
      <x:c r="M89" s="3" t="str"/>
      <x:c r="N89" s="3" t="str"/>
      <x:c r="O89" s="3" t="str"/>
      <x:c r="P89" s="3" t="str">
        <x:v>Confirmar</x:v>
      </x:c>
      <x:c r="Q89" s="4" t="str"/>
      <x:c r="R89" s="3" t="str"/>
    </x:row>
    <x:row r="90">
      <x:c r="A90" s="3" t="str"/>
      <x:c r="B90" s="3" t="str"/>
      <x:c r="C90" s="3" t="str"/>
      <x:c r="D90" s="3" t="str"/>
      <x:c r="E90" s="3" t="str"/>
      <x:c r="F90" s="3" t="str"/>
      <x:c r="G90" s="3" t="str"/>
      <x:c r="H90" s="3" t="str"/>
      <x:c r="I90" s="3" t="str"/>
      <x:c r="J90" s="3" t="str"/>
      <x:c r="K90" s="3" t="str">
        <x:v>Belo Horizonte</x:v>
      </x:c>
      <x:c r="L90" s="3" t="str">
        <x:v>MG</x:v>
      </x:c>
      <x:c r="M90" s="3" t="str"/>
      <x:c r="N90" s="3" t="str"/>
      <x:c r="O90" s="3" t="str"/>
      <x:c r="P90" s="3" t="str">
        <x:v>Confirmar</x:v>
      </x:c>
      <x:c r="Q90" s="4" t="str"/>
      <x:c r="R90" s="3" t="str"/>
    </x:row>
    <x:row r="91">
      <x:c r="A91" s="3" t="str"/>
      <x:c r="B91" s="3" t="str"/>
      <x:c r="C91" s="3" t="str"/>
      <x:c r="D91" s="3" t="str"/>
      <x:c r="E91" s="3" t="str"/>
      <x:c r="F91" s="3" t="str"/>
      <x:c r="G91" s="3" t="str"/>
      <x:c r="H91" s="3" t="str"/>
      <x:c r="I91" s="3" t="str"/>
      <x:c r="J91" s="3" t="str"/>
      <x:c r="K91" s="3" t="str">
        <x:v>Belo Horizonte</x:v>
      </x:c>
      <x:c r="L91" s="3" t="str">
        <x:v>MG</x:v>
      </x:c>
      <x:c r="M91" s="3" t="str"/>
      <x:c r="N91" s="3" t="str"/>
      <x:c r="O91" s="3" t="str"/>
      <x:c r="P91" s="3" t="str">
        <x:v>Confirmar</x:v>
      </x:c>
      <x:c r="Q91" s="4" t="str"/>
      <x:c r="R91" s="3" t="str"/>
    </x:row>
    <x:row r="92">
      <x:c r="A92" s="3" t="str"/>
      <x:c r="B92" s="3" t="str"/>
      <x:c r="C92" s="3" t="str"/>
      <x:c r="D92" s="3" t="str"/>
      <x:c r="E92" s="3" t="str"/>
      <x:c r="F92" s="3" t="str"/>
      <x:c r="G92" s="3" t="str"/>
      <x:c r="H92" s="3" t="str"/>
      <x:c r="I92" s="3" t="str"/>
      <x:c r="J92" s="3" t="str"/>
      <x:c r="K92" s="3" t="str">
        <x:v>Belo Horizonte</x:v>
      </x:c>
      <x:c r="L92" s="3" t="str">
        <x:v>MG</x:v>
      </x:c>
      <x:c r="M92" s="3" t="str"/>
      <x:c r="N92" s="3" t="str"/>
      <x:c r="O92" s="3" t="str"/>
      <x:c r="P92" s="3" t="str">
        <x:v>Confirmar</x:v>
      </x:c>
      <x:c r="Q92" s="4" t="str"/>
      <x:c r="R92" s="3" t="str"/>
    </x:row>
    <x:row r="93">
      <x:c r="A93" s="3" t="str"/>
      <x:c r="B93" s="3" t="str"/>
      <x:c r="C93" s="3" t="str"/>
      <x:c r="D93" s="3" t="str"/>
      <x:c r="E93" s="3" t="str"/>
      <x:c r="F93" s="3" t="str"/>
      <x:c r="G93" s="3" t="str"/>
      <x:c r="H93" s="3" t="str"/>
      <x:c r="I93" s="3" t="str"/>
      <x:c r="J93" s="3" t="str"/>
      <x:c r="K93" s="3" t="str">
        <x:v>Belo Horizonte</x:v>
      </x:c>
      <x:c r="L93" s="3" t="str">
        <x:v>MG</x:v>
      </x:c>
      <x:c r="M93" s="3" t="str"/>
      <x:c r="N93" s="3" t="str"/>
      <x:c r="O93" s="3" t="str"/>
      <x:c r="P93" s="3" t="str">
        <x:v>Confirmar</x:v>
      </x:c>
      <x:c r="Q93" s="4" t="str"/>
      <x:c r="R93" s="3" t="str"/>
    </x:row>
    <x:row r="94">
      <x:c r="A94" s="3" t="str"/>
      <x:c r="B94" s="3" t="str"/>
      <x:c r="C94" s="3" t="str"/>
      <x:c r="D94" s="3" t="str"/>
      <x:c r="E94" s="3" t="str"/>
      <x:c r="F94" s="3" t="str"/>
      <x:c r="G94" s="3" t="str"/>
      <x:c r="H94" s="3" t="str"/>
      <x:c r="I94" s="3" t="str"/>
      <x:c r="J94" s="3" t="str"/>
      <x:c r="K94" s="3" t="str">
        <x:v>Belo Horizonte</x:v>
      </x:c>
      <x:c r="L94" s="3" t="str">
        <x:v>MG</x:v>
      </x:c>
      <x:c r="M94" s="3" t="str"/>
      <x:c r="N94" s="3" t="str"/>
      <x:c r="O94" s="3" t="str"/>
      <x:c r="P94" s="3" t="str">
        <x:v>Confirmar</x:v>
      </x:c>
      <x:c r="Q94" s="4" t="str"/>
      <x:c r="R94" s="3" t="str"/>
    </x:row>
    <x:row r="95">
      <x:c r="A95" s="3" t="str"/>
      <x:c r="B95" s="3" t="str"/>
      <x:c r="C95" s="3" t="str"/>
      <x:c r="D95" s="3" t="str"/>
      <x:c r="E95" s="3" t="str"/>
      <x:c r="F95" s="3" t="str"/>
      <x:c r="G95" s="3" t="str"/>
      <x:c r="H95" s="3" t="str"/>
      <x:c r="I95" s="3" t="str"/>
      <x:c r="J95" s="3" t="str"/>
      <x:c r="K95" s="3" t="str">
        <x:v>Belo Horizonte</x:v>
      </x:c>
      <x:c r="L95" s="3" t="str">
        <x:v>MG</x:v>
      </x:c>
      <x:c r="M95" s="3" t="str"/>
      <x:c r="N95" s="3" t="str"/>
      <x:c r="O95" s="3" t="str"/>
      <x:c r="P95" s="3" t="str">
        <x:v>Confirmar</x:v>
      </x:c>
      <x:c r="Q95" s="4" t="str"/>
      <x:c r="R95" s="3" t="str"/>
    </x:row>
    <x:row r="96">
      <x:c r="A96" s="3" t="str"/>
      <x:c r="B96" s="3" t="str"/>
      <x:c r="C96" s="3" t="str"/>
      <x:c r="D96" s="3" t="str"/>
      <x:c r="E96" s="3" t="str"/>
      <x:c r="F96" s="3" t="str"/>
      <x:c r="G96" s="3" t="str"/>
      <x:c r="H96" s="3" t="str"/>
      <x:c r="I96" s="3" t="str"/>
      <x:c r="J96" s="3" t="str"/>
      <x:c r="K96" s="3" t="str">
        <x:v>Belo Horizonte</x:v>
      </x:c>
      <x:c r="L96" s="3" t="str">
        <x:v>MG</x:v>
      </x:c>
      <x:c r="M96" s="3" t="str"/>
      <x:c r="N96" s="3" t="str"/>
      <x:c r="O96" s="3" t="str"/>
      <x:c r="P96" s="3" t="str">
        <x:v>Confirmar</x:v>
      </x:c>
      <x:c r="Q96" s="4" t="str"/>
      <x:c r="R96" s="3" t="str"/>
    </x:row>
    <x:row r="97">
      <x:c r="A97" s="3" t="str"/>
      <x:c r="B97" s="3" t="str"/>
      <x:c r="C97" s="3" t="str"/>
      <x:c r="D97" s="3" t="str"/>
      <x:c r="E97" s="3" t="str"/>
      <x:c r="F97" s="3" t="str"/>
      <x:c r="G97" s="3" t="str"/>
      <x:c r="H97" s="3" t="str"/>
      <x:c r="I97" s="3" t="str"/>
      <x:c r="J97" s="3" t="str"/>
      <x:c r="K97" s="3" t="str">
        <x:v>Belo Horizonte</x:v>
      </x:c>
      <x:c r="L97" s="3" t="str">
        <x:v>MG</x:v>
      </x:c>
      <x:c r="M97" s="3" t="str"/>
      <x:c r="N97" s="3" t="str"/>
      <x:c r="O97" s="3" t="str"/>
      <x:c r="P97" s="3" t="str">
        <x:v>Confirmar</x:v>
      </x:c>
      <x:c r="Q97" s="4" t="str"/>
      <x:c r="R97" s="3" t="str"/>
    </x:row>
    <x:row r="98">
      <x:c r="A98" s="3" t="str"/>
      <x:c r="B98" s="3" t="str"/>
      <x:c r="C98" s="3" t="str"/>
      <x:c r="D98" s="3" t="str"/>
      <x:c r="E98" s="3" t="str"/>
      <x:c r="F98" s="3" t="str"/>
      <x:c r="G98" s="3" t="str"/>
      <x:c r="H98" s="3" t="str"/>
      <x:c r="I98" s="3" t="str"/>
      <x:c r="J98" s="3" t="str"/>
      <x:c r="K98" s="3" t="str">
        <x:v>Belo Horizonte</x:v>
      </x:c>
      <x:c r="L98" s="3" t="str">
        <x:v>MG</x:v>
      </x:c>
      <x:c r="M98" s="3" t="str"/>
      <x:c r="N98" s="3" t="str"/>
      <x:c r="O98" s="3" t="str"/>
      <x:c r="P98" s="3" t="str">
        <x:v>Confirmar</x:v>
      </x:c>
      <x:c r="Q98" s="4" t="str"/>
      <x:c r="R98" s="3" t="str"/>
    </x:row>
    <x:row r="99">
      <x:c r="A99" s="3" t="str"/>
      <x:c r="B99" s="3" t="str"/>
      <x:c r="C99" s="3" t="str"/>
      <x:c r="D99" s="3" t="str"/>
      <x:c r="E99" s="3" t="str"/>
      <x:c r="F99" s="3" t="str"/>
      <x:c r="G99" s="3" t="str"/>
      <x:c r="H99" s="3" t="str"/>
      <x:c r="I99" s="3" t="str"/>
      <x:c r="J99" s="3" t="str"/>
      <x:c r="K99" s="3" t="str">
        <x:v>Belo Horizonte</x:v>
      </x:c>
      <x:c r="L99" s="3" t="str">
        <x:v>MG</x:v>
      </x:c>
      <x:c r="M99" s="3" t="str"/>
      <x:c r="N99" s="3" t="str"/>
      <x:c r="O99" s="3" t="str"/>
      <x:c r="P99" s="3" t="str">
        <x:v>Confirmar</x:v>
      </x:c>
      <x:c r="Q99" s="4" t="str"/>
      <x:c r="R99" s="3" t="str"/>
    </x:row>
    <x:row r="100">
      <x:c r="A100" s="3" t="str"/>
      <x:c r="B100" s="3" t="str"/>
      <x:c r="C100" s="3" t="str"/>
      <x:c r="D100" s="3" t="str"/>
      <x:c r="E100" s="3" t="str"/>
      <x:c r="F100" s="3" t="str"/>
      <x:c r="G100" s="3" t="str"/>
      <x:c r="H100" s="3" t="str"/>
      <x:c r="I100" s="3" t="str"/>
      <x:c r="J100" s="3" t="str"/>
      <x:c r="K100" s="3" t="str">
        <x:v>Belo Horizonte</x:v>
      </x:c>
      <x:c r="L100" s="3" t="str">
        <x:v>MG</x:v>
      </x:c>
      <x:c r="M100" s="3" t="str"/>
      <x:c r="N100" s="3" t="str"/>
      <x:c r="O100" s="3" t="str"/>
      <x:c r="P100" s="3" t="str">
        <x:v>Confirmar</x:v>
      </x:c>
      <x:c r="Q100" s="4" t="str"/>
      <x:c r="R100" s="3" t="str"/>
    </x:row>
    <x:row r="101">
      <x:c r="A101" s="3" t="str"/>
      <x:c r="B101" s="3" t="str"/>
      <x:c r="C101" s="3" t="str"/>
      <x:c r="D101" s="3" t="str"/>
      <x:c r="E101" s="3" t="str"/>
      <x:c r="F101" s="3" t="str"/>
      <x:c r="G101" s="3" t="str"/>
      <x:c r="H101" s="3" t="str"/>
      <x:c r="I101" s="3" t="str"/>
      <x:c r="J101" s="3" t="str"/>
      <x:c r="K101" s="3" t="str">
        <x:v>Belo Horizonte</x:v>
      </x:c>
      <x:c r="L101" s="3" t="str">
        <x:v>MG</x:v>
      </x:c>
      <x:c r="M101" s="3" t="str"/>
      <x:c r="N101" s="3" t="str"/>
      <x:c r="O101" s="3" t="str"/>
      <x:c r="P101" s="3" t="str">
        <x:v>Confirmar</x:v>
      </x:c>
      <x:c r="Q101" s="4" t="str"/>
      <x:c r="R101" s="3" t="str"/>
    </x:row>
    <x:row r="102">
      <x:c r="A102" s="3" t="str"/>
      <x:c r="B102" s="3" t="str"/>
      <x:c r="C102" s="3" t="str"/>
      <x:c r="D102" s="3" t="str"/>
      <x:c r="E102" s="3" t="str"/>
      <x:c r="F102" s="3" t="str"/>
      <x:c r="G102" s="3" t="str"/>
      <x:c r="H102" s="3" t="str"/>
      <x:c r="I102" s="3" t="str"/>
      <x:c r="J102" s="3" t="str"/>
      <x:c r="K102" s="3" t="str">
        <x:v>Belo Horizonte</x:v>
      </x:c>
      <x:c r="L102" s="3" t="str">
        <x:v>MG</x:v>
      </x:c>
      <x:c r="M102" s="3" t="str"/>
      <x:c r="N102" s="3" t="str"/>
      <x:c r="O102" s="3" t="str"/>
      <x:c r="P102" s="3" t="str">
        <x:v>Confirmar</x:v>
      </x:c>
      <x:c r="Q102" s="4" t="str"/>
      <x:c r="R102" s="3" t="str"/>
    </x:row>
    <x:row r="103">
      <x:c r="A103" s="3" t="str"/>
      <x:c r="B103" s="3" t="str"/>
      <x:c r="C103" s="3" t="str"/>
      <x:c r="D103" s="3" t="str"/>
      <x:c r="E103" s="3" t="str"/>
      <x:c r="F103" s="3" t="str"/>
      <x:c r="G103" s="3" t="str"/>
      <x:c r="H103" s="3" t="str"/>
      <x:c r="I103" s="3" t="str"/>
      <x:c r="J103" s="3" t="str"/>
      <x:c r="K103" s="3" t="str">
        <x:v>Belo Horizonte</x:v>
      </x:c>
      <x:c r="L103" s="3" t="str">
        <x:v>MG</x:v>
      </x:c>
      <x:c r="M103" s="3" t="str"/>
      <x:c r="N103" s="3" t="str"/>
      <x:c r="O103" s="3" t="str"/>
      <x:c r="P103" s="3" t="str">
        <x:v>Confirmar</x:v>
      </x:c>
      <x:c r="Q103" s="4" t="str"/>
      <x:c r="R103" s="3" t="str"/>
    </x:row>
    <x:row r="104">
      <x:c r="A104" s="3" t="str"/>
      <x:c r="B104" s="3" t="str"/>
      <x:c r="C104" s="3" t="str"/>
      <x:c r="D104" s="3" t="str"/>
      <x:c r="E104" s="3" t="str"/>
      <x:c r="F104" s="3" t="str"/>
      <x:c r="G104" s="3" t="str"/>
      <x:c r="H104" s="3" t="str"/>
      <x:c r="I104" s="3" t="str"/>
      <x:c r="J104" s="3" t="str"/>
      <x:c r="K104" s="3" t="str">
        <x:v>Belo Horizonte</x:v>
      </x:c>
      <x:c r="L104" s="3" t="str">
        <x:v>MG</x:v>
      </x:c>
      <x:c r="M104" s="3" t="str"/>
      <x:c r="N104" s="3" t="str"/>
      <x:c r="O104" s="3" t="str"/>
      <x:c r="P104" s="3" t="str">
        <x:v>Confirmar</x:v>
      </x:c>
      <x:c r="Q104" s="4" t="str"/>
      <x:c r="R104" s="3" t="str"/>
    </x:row>
    <x:row r="105">
      <x:c r="A105" s="3" t="str"/>
      <x:c r="B105" s="3" t="str"/>
      <x:c r="C105" s="3" t="str"/>
      <x:c r="D105" s="3" t="str"/>
      <x:c r="E105" s="3" t="str"/>
      <x:c r="F105" s="3" t="str"/>
      <x:c r="G105" s="3" t="str"/>
      <x:c r="H105" s="3" t="str"/>
      <x:c r="I105" s="3" t="str"/>
      <x:c r="J105" s="3" t="str"/>
      <x:c r="K105" s="3" t="str">
        <x:v>Belo Horizonte</x:v>
      </x:c>
      <x:c r="L105" s="3" t="str">
        <x:v>MG</x:v>
      </x:c>
      <x:c r="M105" s="3" t="str"/>
      <x:c r="N105" s="3" t="str"/>
      <x:c r="O105" s="3" t="str"/>
      <x:c r="P105" s="3" t="str">
        <x:v>Confirmar</x:v>
      </x:c>
      <x:c r="Q105" s="4" t="str"/>
      <x:c r="R105" s="3" t="str"/>
    </x:row>
    <x:row r="106">
      <x:c r="A106" s="3" t="str"/>
      <x:c r="B106" s="3" t="str"/>
      <x:c r="C106" s="3" t="str"/>
      <x:c r="D106" s="3" t="str"/>
      <x:c r="E106" s="3" t="str"/>
      <x:c r="F106" s="3" t="str"/>
      <x:c r="G106" s="3" t="str"/>
      <x:c r="H106" s="3" t="str"/>
      <x:c r="I106" s="3" t="str"/>
      <x:c r="J106" s="3" t="str"/>
      <x:c r="K106" s="3" t="str">
        <x:v>Belo Horizonte</x:v>
      </x:c>
      <x:c r="L106" s="3" t="str">
        <x:v>MG</x:v>
      </x:c>
      <x:c r="M106" s="3" t="str"/>
      <x:c r="N106" s="3" t="str"/>
      <x:c r="O106" s="3" t="str"/>
      <x:c r="P106" s="3" t="str">
        <x:v>Confirmar</x:v>
      </x:c>
      <x:c r="Q106" s="4" t="str"/>
      <x:c r="R106" s="3" t="str"/>
    </x:row>
    <x:row r="107">
      <x:c r="A107" s="3" t="str"/>
      <x:c r="B107" s="3" t="str"/>
      <x:c r="C107" s="3" t="str"/>
      <x:c r="D107" s="3" t="str"/>
      <x:c r="E107" s="3" t="str"/>
      <x:c r="F107" s="3" t="str"/>
      <x:c r="G107" s="3" t="str"/>
      <x:c r="H107" s="3" t="str"/>
      <x:c r="I107" s="3" t="str"/>
      <x:c r="J107" s="3" t="str"/>
      <x:c r="K107" s="3" t="str">
        <x:v>Belo Horizonte</x:v>
      </x:c>
      <x:c r="L107" s="3" t="str">
        <x:v>MG</x:v>
      </x:c>
      <x:c r="M107" s="3" t="str"/>
      <x:c r="N107" s="3" t="str"/>
      <x:c r="O107" s="3" t="str"/>
      <x:c r="P107" s="3" t="str">
        <x:v>Confirmar</x:v>
      </x:c>
      <x:c r="Q107" s="4" t="str"/>
      <x:c r="R107" s="3" t="str"/>
    </x:row>
    <x:row r="108">
      <x:c r="A108" s="3" t="str"/>
      <x:c r="B108" s="3" t="str"/>
      <x:c r="C108" s="3" t="str"/>
      <x:c r="D108" s="3" t="str"/>
      <x:c r="E108" s="3" t="str"/>
      <x:c r="F108" s="3" t="str"/>
      <x:c r="G108" s="3" t="str"/>
      <x:c r="H108" s="3" t="str"/>
      <x:c r="I108" s="3" t="str"/>
      <x:c r="J108" s="3" t="str"/>
      <x:c r="K108" s="3" t="str">
        <x:v>Belo Horizonte</x:v>
      </x:c>
      <x:c r="L108" s="3" t="str">
        <x:v>MG</x:v>
      </x:c>
      <x:c r="M108" s="3" t="str"/>
      <x:c r="N108" s="3" t="str"/>
      <x:c r="O108" s="3" t="str"/>
      <x:c r="P108" s="3" t="str">
        <x:v>Confirmar</x:v>
      </x:c>
      <x:c r="Q108" s="4" t="str"/>
      <x:c r="R108" s="3" t="str"/>
    </x:row>
    <x:row r="109">
      <x:c r="A109" s="3" t="str"/>
      <x:c r="B109" s="3" t="str"/>
      <x:c r="C109" s="3" t="str"/>
      <x:c r="D109" s="3" t="str"/>
      <x:c r="E109" s="3" t="str"/>
      <x:c r="F109" s="3" t="str"/>
      <x:c r="G109" s="3" t="str"/>
      <x:c r="H109" s="3" t="str"/>
      <x:c r="I109" s="3" t="str"/>
      <x:c r="J109" s="3" t="str"/>
      <x:c r="K109" s="3" t="str">
        <x:v>Belo Horizonte</x:v>
      </x:c>
      <x:c r="L109" s="3" t="str">
        <x:v>MG</x:v>
      </x:c>
      <x:c r="M109" s="3" t="str"/>
      <x:c r="N109" s="3" t="str"/>
      <x:c r="O109" s="3" t="str"/>
      <x:c r="P109" s="3" t="str">
        <x:v>Confirmar</x:v>
      </x:c>
      <x:c r="Q109" s="4" t="str"/>
      <x:c r="R109" s="3" t="str"/>
    </x:row>
    <x:row r="110">
      <x:c r="A110" s="3" t="str"/>
      <x:c r="B110" s="3" t="str"/>
      <x:c r="C110" s="3" t="str"/>
      <x:c r="D110" s="3" t="str"/>
      <x:c r="E110" s="3" t="str"/>
      <x:c r="F110" s="3" t="str"/>
      <x:c r="G110" s="3" t="str"/>
      <x:c r="H110" s="3" t="str"/>
      <x:c r="I110" s="3" t="str"/>
      <x:c r="J110" s="3" t="str"/>
      <x:c r="K110" s="3" t="str">
        <x:v>Belo Horizonte</x:v>
      </x:c>
      <x:c r="L110" s="3" t="str">
        <x:v>MG</x:v>
      </x:c>
      <x:c r="M110" s="3" t="str"/>
      <x:c r="N110" s="3" t="str"/>
      <x:c r="O110" s="3" t="str"/>
      <x:c r="P110" s="3" t="str">
        <x:v>Confirmar</x:v>
      </x:c>
      <x:c r="Q110" s="4" t="str"/>
      <x:c r="R110" s="3" t="str"/>
    </x:row>
    <x:row r="111">
      <x:c r="A111" s="3" t="str"/>
      <x:c r="B111" s="3" t="str"/>
      <x:c r="C111" s="3" t="str"/>
      <x:c r="D111" s="3" t="str"/>
      <x:c r="E111" s="3" t="str"/>
      <x:c r="F111" s="3" t="str"/>
      <x:c r="G111" s="3" t="str"/>
      <x:c r="H111" s="3" t="str"/>
      <x:c r="I111" s="3" t="str"/>
      <x:c r="J111" s="3" t="str"/>
      <x:c r="K111" s="3" t="str">
        <x:v>Belo Horizonte</x:v>
      </x:c>
      <x:c r="L111" s="3" t="str">
        <x:v>MG</x:v>
      </x:c>
      <x:c r="M111" s="3" t="str"/>
      <x:c r="N111" s="3" t="str"/>
      <x:c r="O111" s="3" t="str"/>
      <x:c r="P111" s="3" t="str">
        <x:v>Confirmar</x:v>
      </x:c>
      <x:c r="Q111" s="4" t="str"/>
      <x:c r="R111" s="3" t="str"/>
    </x:row>
    <x:row r="112">
      <x:c r="A112" s="3" t="str"/>
      <x:c r="B112" s="3" t="str"/>
      <x:c r="C112" s="3" t="str"/>
      <x:c r="D112" s="3" t="str"/>
      <x:c r="E112" s="3" t="str"/>
      <x:c r="F112" s="3" t="str"/>
      <x:c r="G112" s="3" t="str"/>
      <x:c r="H112" s="3" t="str"/>
      <x:c r="I112" s="3" t="str"/>
      <x:c r="J112" s="3" t="str"/>
      <x:c r="K112" s="3" t="str">
        <x:v>Belo Horizonte</x:v>
      </x:c>
      <x:c r="L112" s="3" t="str">
        <x:v>MG</x:v>
      </x:c>
      <x:c r="M112" s="3" t="str"/>
      <x:c r="N112" s="3" t="str"/>
      <x:c r="O112" s="3" t="str"/>
      <x:c r="P112" s="3" t="str">
        <x:v>Confirmar</x:v>
      </x:c>
      <x:c r="Q112" s="4" t="str"/>
      <x:c r="R112" s="3" t="str"/>
    </x:row>
    <x:row r="113">
      <x:c r="A113" s="3" t="str"/>
      <x:c r="B113" s="3" t="str"/>
      <x:c r="C113" s="3" t="str"/>
      <x:c r="D113" s="3" t="str"/>
      <x:c r="E113" s="3" t="str"/>
      <x:c r="F113" s="3" t="str"/>
      <x:c r="G113" s="3" t="str"/>
      <x:c r="H113" s="3" t="str"/>
      <x:c r="I113" s="3" t="str"/>
      <x:c r="J113" s="3" t="str"/>
      <x:c r="K113" s="3" t="str">
        <x:v>Belo Horizonte</x:v>
      </x:c>
      <x:c r="L113" s="3" t="str">
        <x:v>MG</x:v>
      </x:c>
      <x:c r="M113" s="3" t="str"/>
      <x:c r="N113" s="3" t="str"/>
      <x:c r="O113" s="3" t="str"/>
      <x:c r="P113" s="3" t="str">
        <x:v>Confirmar</x:v>
      </x:c>
      <x:c r="Q113" s="4" t="str"/>
      <x:c r="R113" s="3" t="str"/>
    </x:row>
    <x:row r="114">
      <x:c r="A114" s="3" t="str"/>
      <x:c r="B114" s="3" t="str"/>
      <x:c r="C114" s="3" t="str"/>
      <x:c r="D114" s="3" t="str"/>
      <x:c r="E114" s="3" t="str"/>
      <x:c r="F114" s="3" t="str"/>
      <x:c r="G114" s="3" t="str"/>
      <x:c r="H114" s="3" t="str"/>
      <x:c r="I114" s="3" t="str"/>
      <x:c r="J114" s="3" t="str"/>
      <x:c r="K114" s="3" t="str">
        <x:v>Belo Horizonte</x:v>
      </x:c>
      <x:c r="L114" s="3" t="str">
        <x:v>MG</x:v>
      </x:c>
      <x:c r="M114" s="3" t="str"/>
      <x:c r="N114" s="3" t="str"/>
      <x:c r="O114" s="3" t="str"/>
      <x:c r="P114" s="3" t="str">
        <x:v>Confirmar</x:v>
      </x:c>
      <x:c r="Q114" s="4" t="str"/>
      <x:c r="R114" s="3" t="str"/>
    </x:row>
    <x:row r="115">
      <x:c r="A115" s="3" t="str"/>
      <x:c r="B115" s="3" t="str"/>
      <x:c r="C115" s="3" t="str"/>
      <x:c r="D115" s="3" t="str"/>
      <x:c r="E115" s="3" t="str"/>
      <x:c r="F115" s="3" t="str"/>
      <x:c r="G115" s="3" t="str"/>
      <x:c r="H115" s="3" t="str"/>
      <x:c r="I115" s="3" t="str"/>
      <x:c r="J115" s="3" t="str"/>
      <x:c r="K115" s="3" t="str">
        <x:v>Belo Horizonte</x:v>
      </x:c>
      <x:c r="L115" s="3" t="str">
        <x:v>MG</x:v>
      </x:c>
      <x:c r="M115" s="3" t="str"/>
      <x:c r="N115" s="3" t="str"/>
      <x:c r="O115" s="3" t="str"/>
      <x:c r="P115" s="3" t="str">
        <x:v>Confirmar</x:v>
      </x:c>
      <x:c r="Q115" s="4" t="str"/>
      <x:c r="R115" s="3" t="str"/>
    </x:row>
    <x:row r="116">
      <x:c r="A116" s="3" t="str"/>
      <x:c r="B116" s="3" t="str"/>
      <x:c r="C116" s="3" t="str"/>
      <x:c r="D116" s="3" t="str"/>
      <x:c r="E116" s="3" t="str"/>
      <x:c r="F116" s="3" t="str"/>
      <x:c r="G116" s="3" t="str"/>
      <x:c r="H116" s="3" t="str"/>
      <x:c r="I116" s="3" t="str"/>
      <x:c r="J116" s="3" t="str"/>
      <x:c r="K116" s="3" t="str">
        <x:v>Belo Horizonte</x:v>
      </x:c>
      <x:c r="L116" s="3" t="str">
        <x:v>MG</x:v>
      </x:c>
      <x:c r="M116" s="3" t="str"/>
      <x:c r="N116" s="3" t="str"/>
      <x:c r="O116" s="3" t="str"/>
      <x:c r="P116" s="3" t="str">
        <x:v>Confirmar</x:v>
      </x:c>
      <x:c r="Q116" s="4" t="str"/>
      <x:c r="R116" s="3" t="str"/>
    </x:row>
    <x:row r="117">
      <x:c r="A117" s="3" t="str"/>
      <x:c r="B117" s="3" t="str"/>
      <x:c r="C117" s="3" t="str"/>
      <x:c r="D117" s="3" t="str"/>
      <x:c r="E117" s="3" t="str"/>
      <x:c r="F117" s="3" t="str"/>
      <x:c r="G117" s="3" t="str"/>
      <x:c r="H117" s="3" t="str"/>
      <x:c r="I117" s="3" t="str"/>
      <x:c r="J117" s="3" t="str"/>
      <x:c r="K117" s="3" t="str">
        <x:v>Belo Horizonte</x:v>
      </x:c>
      <x:c r="L117" s="3" t="str">
        <x:v>MG</x:v>
      </x:c>
      <x:c r="M117" s="3" t="str"/>
      <x:c r="N117" s="3" t="str"/>
      <x:c r="O117" s="3" t="str"/>
      <x:c r="P117" s="3" t="str">
        <x:v>Confirmar</x:v>
      </x:c>
      <x:c r="Q117" s="4" t="str"/>
      <x:c r="R117" s="3" t="str"/>
    </x:row>
    <x:row r="118">
      <x:c r="A118" s="3" t="str"/>
      <x:c r="B118" s="3" t="str"/>
      <x:c r="C118" s="3" t="str"/>
      <x:c r="D118" s="3" t="str"/>
      <x:c r="E118" s="3" t="str"/>
      <x:c r="F118" s="3" t="str"/>
      <x:c r="G118" s="3" t="str"/>
      <x:c r="H118" s="3" t="str"/>
      <x:c r="I118" s="3" t="str"/>
      <x:c r="J118" s="3" t="str"/>
      <x:c r="K118" s="3" t="str">
        <x:v>Belo Horizonte</x:v>
      </x:c>
      <x:c r="L118" s="3" t="str">
        <x:v>MG</x:v>
      </x:c>
      <x:c r="M118" s="3" t="str"/>
      <x:c r="N118" s="3" t="str"/>
      <x:c r="O118" s="3" t="str"/>
      <x:c r="P118" s="3" t="str">
        <x:v>Confirmar</x:v>
      </x:c>
      <x:c r="Q118" s="4" t="str"/>
      <x:c r="R118" s="3" t="str"/>
    </x:row>
    <x:row r="119">
      <x:c r="A119" s="3" t="str"/>
      <x:c r="B119" s="3" t="str"/>
      <x:c r="C119" s="3" t="str"/>
      <x:c r="D119" s="3" t="str"/>
      <x:c r="E119" s="3" t="str"/>
      <x:c r="F119" s="3" t="str"/>
      <x:c r="G119" s="3" t="str"/>
      <x:c r="H119" s="3" t="str"/>
      <x:c r="I119" s="3" t="str"/>
      <x:c r="J119" s="3" t="str"/>
      <x:c r="K119" s="3" t="str">
        <x:v>Belo Horizonte</x:v>
      </x:c>
      <x:c r="L119" s="3" t="str">
        <x:v>MG</x:v>
      </x:c>
      <x:c r="M119" s="3" t="str"/>
      <x:c r="N119" s="3" t="str"/>
      <x:c r="O119" s="3" t="str"/>
      <x:c r="P119" s="3" t="str">
        <x:v>Confirmar</x:v>
      </x:c>
      <x:c r="Q119" s="4" t="str"/>
      <x:c r="R119" s="3" t="str"/>
    </x:row>
    <x:row r="120">
      <x:c r="A120" s="3" t="str"/>
      <x:c r="B120" s="3" t="str"/>
      <x:c r="C120" s="3" t="str"/>
      <x:c r="D120" s="3" t="str"/>
      <x:c r="E120" s="3" t="str"/>
      <x:c r="F120" s="3" t="str"/>
      <x:c r="G120" s="3" t="str"/>
      <x:c r="H120" s="3" t="str"/>
      <x:c r="I120" s="3" t="str"/>
      <x:c r="J120" s="3" t="str"/>
      <x:c r="K120" s="3" t="str">
        <x:v>Belo Horizonte</x:v>
      </x:c>
      <x:c r="L120" s="3" t="str">
        <x:v>MG</x:v>
      </x:c>
      <x:c r="M120" s="3" t="str"/>
      <x:c r="N120" s="3" t="str"/>
      <x:c r="O120" s="3" t="str"/>
      <x:c r="P120" s="3" t="str">
        <x:v>Confirmar</x:v>
      </x:c>
      <x:c r="Q120" s="4" t="str"/>
      <x:c r="R120" s="3" t="str"/>
    </x:row>
    <x:row r="121">
      <x:c r="A121" s="3" t="str"/>
      <x:c r="B121" s="3" t="str"/>
      <x:c r="C121" s="3" t="str"/>
      <x:c r="D121" s="3" t="str"/>
      <x:c r="E121" s="3" t="str"/>
      <x:c r="F121" s="3" t="str"/>
      <x:c r="G121" s="3" t="str"/>
      <x:c r="H121" s="3" t="str"/>
      <x:c r="I121" s="3" t="str"/>
      <x:c r="J121" s="3" t="str"/>
      <x:c r="K121" s="3" t="str">
        <x:v>Belo Horizonte</x:v>
      </x:c>
      <x:c r="L121" s="3" t="str">
        <x:v>MG</x:v>
      </x:c>
      <x:c r="M121" s="3" t="str"/>
      <x:c r="N121" s="3" t="str"/>
      <x:c r="O121" s="3" t="str"/>
      <x:c r="P121" s="3" t="str">
        <x:v>Confirmar</x:v>
      </x:c>
      <x:c r="Q121" s="4" t="str"/>
      <x:c r="R121" s="3" t="str"/>
    </x:row>
    <x:row r="122">
      <x:c r="A122" s="3" t="str"/>
      <x:c r="B122" s="3" t="str"/>
      <x:c r="C122" s="3" t="str"/>
      <x:c r="D122" s="3" t="str"/>
      <x:c r="E122" s="3" t="str"/>
      <x:c r="F122" s="3" t="str"/>
      <x:c r="G122" s="3" t="str"/>
      <x:c r="H122" s="3" t="str"/>
      <x:c r="I122" s="3" t="str"/>
      <x:c r="J122" s="3" t="str"/>
      <x:c r="K122" s="3" t="str">
        <x:v>Belo Horizonte</x:v>
      </x:c>
      <x:c r="L122" s="3" t="str">
        <x:v>MG</x:v>
      </x:c>
      <x:c r="M122" s="3" t="str"/>
      <x:c r="N122" s="3" t="str"/>
      <x:c r="O122" s="3" t="str"/>
      <x:c r="P122" s="3" t="str">
        <x:v>Confirmar</x:v>
      </x:c>
      <x:c r="Q122" s="4" t="str"/>
      <x:c r="R122" s="3" t="str"/>
    </x:row>
    <x:row r="123">
      <x:c r="A123" s="3" t="str"/>
      <x:c r="B123" s="3" t="str"/>
      <x:c r="C123" s="3" t="str"/>
      <x:c r="D123" s="3" t="str"/>
      <x:c r="E123" s="3" t="str"/>
      <x:c r="F123" s="3" t="str"/>
      <x:c r="G123" s="3" t="str"/>
      <x:c r="H123" s="3" t="str"/>
      <x:c r="I123" s="3" t="str"/>
      <x:c r="J123" s="3" t="str"/>
      <x:c r="K123" s="3" t="str">
        <x:v>Belo Horizonte</x:v>
      </x:c>
      <x:c r="L123" s="3" t="str">
        <x:v>MG</x:v>
      </x:c>
      <x:c r="M123" s="3" t="str"/>
      <x:c r="N123" s="3" t="str"/>
      <x:c r="O123" s="3" t="str"/>
      <x:c r="P123" s="3" t="str">
        <x:v>Confirmar</x:v>
      </x:c>
      <x:c r="Q123" s="4" t="str"/>
      <x:c r="R123" s="3" t="str"/>
    </x:row>
    <x:row r="124">
      <x:c r="A124" s="3" t="str"/>
      <x:c r="B124" s="3" t="str"/>
      <x:c r="C124" s="3" t="str"/>
      <x:c r="D124" s="3" t="str"/>
      <x:c r="E124" s="3" t="str"/>
      <x:c r="F124" s="3" t="str"/>
      <x:c r="G124" s="3" t="str"/>
      <x:c r="H124" s="3" t="str"/>
      <x:c r="I124" s="3" t="str"/>
      <x:c r="J124" s="3" t="str"/>
      <x:c r="K124" s="3" t="str">
        <x:v>Belo Horizonte</x:v>
      </x:c>
      <x:c r="L124" s="3" t="str">
        <x:v>MG</x:v>
      </x:c>
      <x:c r="M124" s="3" t="str"/>
      <x:c r="N124" s="3" t="str"/>
      <x:c r="O124" s="3" t="str"/>
      <x:c r="P124" s="3" t="str">
        <x:v>Confirmar</x:v>
      </x:c>
      <x:c r="Q124" s="4" t="str"/>
      <x:c r="R124" s="3" t="str"/>
    </x:row>
    <x:row r="125">
      <x:c r="A125" s="3" t="str"/>
      <x:c r="B125" s="3" t="str"/>
      <x:c r="C125" s="3" t="str"/>
      <x:c r="D125" s="3" t="str"/>
      <x:c r="E125" s="3" t="str"/>
      <x:c r="F125" s="3" t="str"/>
      <x:c r="G125" s="3" t="str"/>
      <x:c r="H125" s="3" t="str"/>
      <x:c r="I125" s="3" t="str"/>
      <x:c r="J125" s="3" t="str"/>
      <x:c r="K125" s="3" t="str">
        <x:v>Belo Horizonte</x:v>
      </x:c>
      <x:c r="L125" s="3" t="str">
        <x:v>MG</x:v>
      </x:c>
      <x:c r="M125" s="3" t="str"/>
      <x:c r="N125" s="3" t="str"/>
      <x:c r="O125" s="3" t="str"/>
      <x:c r="P125" s="3" t="str">
        <x:v>Confirmar</x:v>
      </x:c>
      <x:c r="Q125" s="4" t="str"/>
      <x:c r="R125" s="3" t="str"/>
    </x:row>
    <x:row r="126">
      <x:c r="A126" s="3" t="str"/>
      <x:c r="B126" s="3" t="str"/>
      <x:c r="C126" s="3" t="str"/>
      <x:c r="D126" s="3" t="str"/>
      <x:c r="E126" s="3" t="str"/>
      <x:c r="F126" s="3" t="str"/>
      <x:c r="G126" s="3" t="str"/>
      <x:c r="H126" s="3" t="str"/>
      <x:c r="I126" s="3" t="str"/>
      <x:c r="J126" s="3" t="str"/>
      <x:c r="K126" s="3" t="str">
        <x:v>Belo Horizonte</x:v>
      </x:c>
      <x:c r="L126" s="3" t="str">
        <x:v>MG</x:v>
      </x:c>
      <x:c r="M126" s="3" t="str"/>
      <x:c r="N126" s="3" t="str"/>
      <x:c r="O126" s="3" t="str"/>
      <x:c r="P126" s="3" t="str">
        <x:v>Confirmar</x:v>
      </x:c>
      <x:c r="Q126" s="4" t="str"/>
      <x:c r="R126" s="3" t="str"/>
    </x:row>
    <x:row r="127">
      <x:c r="A127" s="3" t="str"/>
      <x:c r="B127" s="3" t="str"/>
      <x:c r="C127" s="3" t="str"/>
      <x:c r="D127" s="3" t="str"/>
      <x:c r="E127" s="3" t="str"/>
      <x:c r="F127" s="3" t="str"/>
      <x:c r="G127" s="3" t="str"/>
      <x:c r="H127" s="3" t="str"/>
      <x:c r="I127" s="3" t="str"/>
      <x:c r="J127" s="3" t="str"/>
      <x:c r="K127" s="3" t="str">
        <x:v>Belo Horizonte</x:v>
      </x:c>
      <x:c r="L127" s="3" t="str">
        <x:v>MG</x:v>
      </x:c>
      <x:c r="M127" s="3" t="str"/>
      <x:c r="N127" s="3" t="str"/>
      <x:c r="O127" s="3" t="str"/>
      <x:c r="P127" s="3" t="str">
        <x:v>Confirmar</x:v>
      </x:c>
      <x:c r="Q127" s="4" t="str"/>
      <x:c r="R127" s="3" t="str"/>
    </x:row>
    <x:row r="128">
      <x:c r="A128" s="3" t="str"/>
      <x:c r="B128" s="3" t="str"/>
      <x:c r="C128" s="3" t="str"/>
      <x:c r="D128" s="3" t="str"/>
      <x:c r="E128" s="3" t="str"/>
      <x:c r="F128" s="3" t="str"/>
      <x:c r="G128" s="3" t="str"/>
      <x:c r="H128" s="3" t="str"/>
      <x:c r="I128" s="3" t="str"/>
      <x:c r="J128" s="3" t="str"/>
      <x:c r="K128" s="3" t="str">
        <x:v>Belo Horizonte</x:v>
      </x:c>
      <x:c r="L128" s="3" t="str">
        <x:v>MG</x:v>
      </x:c>
      <x:c r="M128" s="3" t="str"/>
      <x:c r="N128" s="3" t="str"/>
      <x:c r="O128" s="3" t="str"/>
      <x:c r="P128" s="3" t="str">
        <x:v>Confirmar</x:v>
      </x:c>
      <x:c r="Q128" s="4" t="str"/>
      <x:c r="R128" s="3" t="str"/>
    </x:row>
    <x:row r="129">
      <x:c r="A129" s="3" t="str"/>
      <x:c r="B129" s="3" t="str"/>
      <x:c r="C129" s="3" t="str"/>
      <x:c r="D129" s="3" t="str"/>
      <x:c r="E129" s="3" t="str"/>
      <x:c r="F129" s="3" t="str"/>
      <x:c r="G129" s="3" t="str"/>
      <x:c r="H129" s="3" t="str"/>
      <x:c r="I129" s="3" t="str"/>
      <x:c r="J129" s="3" t="str"/>
      <x:c r="K129" s="3" t="str">
        <x:v>Belo Horizonte</x:v>
      </x:c>
      <x:c r="L129" s="3" t="str">
        <x:v>MG</x:v>
      </x:c>
      <x:c r="M129" s="3" t="str"/>
      <x:c r="N129" s="3" t="str"/>
      <x:c r="O129" s="3" t="str"/>
      <x:c r="P129" s="3" t="str">
        <x:v>Confirmar</x:v>
      </x:c>
      <x:c r="Q129" s="4" t="str"/>
      <x:c r="R129" s="3" t="str"/>
    </x:row>
    <x:row r="130">
      <x:c r="A130" s="3" t="str"/>
      <x:c r="B130" s="3" t="str"/>
      <x:c r="C130" s="3" t="str"/>
      <x:c r="D130" s="3" t="str"/>
      <x:c r="E130" s="3" t="str"/>
      <x:c r="F130" s="3" t="str"/>
      <x:c r="G130" s="3" t="str"/>
      <x:c r="H130" s="3" t="str"/>
      <x:c r="I130" s="3" t="str"/>
      <x:c r="J130" s="3" t="str"/>
      <x:c r="K130" s="3" t="str">
        <x:v>Belo Horizonte</x:v>
      </x:c>
      <x:c r="L130" s="3" t="str">
        <x:v>MG</x:v>
      </x:c>
      <x:c r="M130" s="3" t="str"/>
      <x:c r="N130" s="3" t="str"/>
      <x:c r="O130" s="3" t="str"/>
      <x:c r="P130" s="3" t="str">
        <x:v>Confirmar</x:v>
      </x:c>
      <x:c r="Q130" s="4" t="str"/>
      <x:c r="R130" s="3" t="str"/>
    </x:row>
    <x:row r="131">
      <x:c r="A131" s="3" t="str"/>
      <x:c r="B131" s="3" t="str"/>
      <x:c r="C131" s="3" t="str"/>
      <x:c r="D131" s="3" t="str"/>
      <x:c r="E131" s="3" t="str"/>
      <x:c r="F131" s="3" t="str"/>
      <x:c r="G131" s="3" t="str"/>
      <x:c r="H131" s="3" t="str"/>
      <x:c r="I131" s="3" t="str"/>
      <x:c r="J131" s="3" t="str"/>
      <x:c r="K131" s="3" t="str">
        <x:v>Belo Horizonte</x:v>
      </x:c>
      <x:c r="L131" s="3" t="str">
        <x:v>MG</x:v>
      </x:c>
      <x:c r="M131" s="3" t="str"/>
      <x:c r="N131" s="3" t="str"/>
      <x:c r="O131" s="3" t="str"/>
      <x:c r="P131" s="3" t="str">
        <x:v>Confirmar</x:v>
      </x:c>
      <x:c r="Q131" s="4" t="str"/>
      <x:c r="R131" s="3" t="str"/>
    </x:row>
    <x:row r="132">
      <x:c r="A132" s="3" t="str"/>
      <x:c r="B132" s="3" t="str"/>
      <x:c r="C132" s="3" t="str"/>
      <x:c r="D132" s="3" t="str"/>
      <x:c r="E132" s="3" t="str"/>
      <x:c r="F132" s="3" t="str"/>
      <x:c r="G132" s="3" t="str"/>
      <x:c r="H132" s="3" t="str"/>
      <x:c r="I132" s="3" t="str"/>
      <x:c r="J132" s="3" t="str"/>
      <x:c r="K132" s="3" t="str">
        <x:v>Belo Horizonte</x:v>
      </x:c>
      <x:c r="L132" s="3" t="str">
        <x:v>MG</x:v>
      </x:c>
      <x:c r="M132" s="3" t="str"/>
      <x:c r="N132" s="3" t="str"/>
      <x:c r="O132" s="3" t="str"/>
      <x:c r="P132" s="3" t="str">
        <x:v>Confirmar</x:v>
      </x:c>
      <x:c r="Q132" s="4" t="str"/>
      <x:c r="R132" s="3" t="str"/>
    </x:row>
    <x:row r="133">
      <x:c r="A133" s="3" t="str"/>
      <x:c r="B133" s="3" t="str"/>
      <x:c r="C133" s="3" t="str"/>
      <x:c r="D133" s="3" t="str"/>
      <x:c r="E133" s="3" t="str"/>
      <x:c r="F133" s="3" t="str"/>
      <x:c r="G133" s="3" t="str"/>
      <x:c r="H133" s="3" t="str"/>
      <x:c r="I133" s="3" t="str"/>
      <x:c r="J133" s="3" t="str"/>
      <x:c r="K133" s="3" t="str">
        <x:v>Belo Horizonte</x:v>
      </x:c>
      <x:c r="L133" s="3" t="str">
        <x:v>MG</x:v>
      </x:c>
      <x:c r="M133" s="3" t="str"/>
      <x:c r="N133" s="3" t="str"/>
      <x:c r="O133" s="3" t="str"/>
      <x:c r="P133" s="3" t="str">
        <x:v>Confirmar</x:v>
      </x:c>
      <x:c r="Q133" s="4" t="str"/>
      <x:c r="R133" s="3" t="str"/>
    </x:row>
    <x:row r="134">
      <x:c r="A134" s="3" t="str"/>
      <x:c r="B134" s="3" t="str"/>
      <x:c r="C134" s="3" t="str"/>
      <x:c r="D134" s="3" t="str"/>
      <x:c r="E134" s="3" t="str"/>
      <x:c r="F134" s="3" t="str"/>
      <x:c r="G134" s="3" t="str"/>
      <x:c r="H134" s="3" t="str"/>
      <x:c r="I134" s="3" t="str"/>
      <x:c r="J134" s="3" t="str"/>
      <x:c r="K134" s="3" t="str">
        <x:v>Belo Horizonte</x:v>
      </x:c>
      <x:c r="L134" s="3" t="str">
        <x:v>MG</x:v>
      </x:c>
      <x:c r="M134" s="3" t="str"/>
      <x:c r="N134" s="3" t="str"/>
      <x:c r="O134" s="3" t="str"/>
      <x:c r="P134" s="3" t="str">
        <x:v>Confirmar</x:v>
      </x:c>
      <x:c r="Q134" s="4" t="str"/>
      <x:c r="R134" s="3" t="str"/>
    </x:row>
    <x:row r="135">
      <x:c r="A135" s="3" t="str"/>
      <x:c r="B135" s="3" t="str"/>
      <x:c r="C135" s="3" t="str"/>
      <x:c r="D135" s="3" t="str"/>
      <x:c r="E135" s="3" t="str"/>
      <x:c r="F135" s="3" t="str"/>
      <x:c r="G135" s="3" t="str"/>
      <x:c r="H135" s="3" t="str"/>
      <x:c r="I135" s="3" t="str"/>
      <x:c r="J135" s="3" t="str"/>
      <x:c r="K135" s="3" t="str">
        <x:v>Belo Horizonte</x:v>
      </x:c>
      <x:c r="L135" s="3" t="str">
        <x:v>MG</x:v>
      </x:c>
      <x:c r="M135" s="3" t="str"/>
      <x:c r="N135" s="3" t="str"/>
      <x:c r="O135" s="3" t="str"/>
      <x:c r="P135" s="3" t="str">
        <x:v>Confirmar</x:v>
      </x:c>
      <x:c r="Q135" s="4" t="str"/>
      <x:c r="R135" s="3" t="str"/>
    </x:row>
    <x:row r="136">
      <x:c r="A136" s="3" t="str"/>
      <x:c r="B136" s="3" t="str"/>
      <x:c r="C136" s="3" t="str"/>
      <x:c r="D136" s="3" t="str"/>
      <x:c r="E136" s="3" t="str"/>
      <x:c r="F136" s="3" t="str"/>
      <x:c r="G136" s="3" t="str"/>
      <x:c r="H136" s="3" t="str"/>
      <x:c r="I136" s="3" t="str"/>
      <x:c r="J136" s="3" t="str"/>
      <x:c r="K136" s="3" t="str">
        <x:v>Belo Horizonte</x:v>
      </x:c>
      <x:c r="L136" s="3" t="str">
        <x:v>MG</x:v>
      </x:c>
      <x:c r="M136" s="3" t="str"/>
      <x:c r="N136" s="3" t="str"/>
      <x:c r="O136" s="3" t="str"/>
      <x:c r="P136" s="3" t="str">
        <x:v>Confirmar</x:v>
      </x:c>
      <x:c r="Q136" s="4" t="str"/>
      <x:c r="R136" s="3" t="str"/>
    </x:row>
    <x:row r="137">
      <x:c r="A137" s="3" t="str"/>
      <x:c r="B137" s="3" t="str"/>
      <x:c r="C137" s="3" t="str"/>
      <x:c r="D137" s="3" t="str"/>
      <x:c r="E137" s="3" t="str"/>
      <x:c r="F137" s="3" t="str"/>
      <x:c r="G137" s="3" t="str"/>
      <x:c r="H137" s="3" t="str"/>
      <x:c r="I137" s="3" t="str"/>
      <x:c r="J137" s="3" t="str"/>
      <x:c r="K137" s="3" t="str">
        <x:v>Belo Horizonte</x:v>
      </x:c>
      <x:c r="L137" s="3" t="str">
        <x:v>MG</x:v>
      </x:c>
      <x:c r="M137" s="3" t="str"/>
      <x:c r="N137" s="3" t="str"/>
      <x:c r="O137" s="3" t="str"/>
      <x:c r="P137" s="3" t="str">
        <x:v>Confirmar</x:v>
      </x:c>
      <x:c r="Q137" s="4" t="str"/>
      <x:c r="R137" s="3" t="str"/>
    </x:row>
    <x:row r="138">
      <x:c r="A138" s="3" t="str"/>
      <x:c r="B138" s="3" t="str"/>
      <x:c r="C138" s="3" t="str"/>
      <x:c r="D138" s="3" t="str"/>
      <x:c r="E138" s="3" t="str"/>
      <x:c r="F138" s="3" t="str"/>
      <x:c r="G138" s="3" t="str"/>
      <x:c r="H138" s="3" t="str"/>
      <x:c r="I138" s="3" t="str"/>
      <x:c r="J138" s="3" t="str"/>
      <x:c r="K138" s="3" t="str">
        <x:v>Belo Horizonte</x:v>
      </x:c>
      <x:c r="L138" s="3" t="str">
        <x:v>MG</x:v>
      </x:c>
      <x:c r="M138" s="3" t="str"/>
      <x:c r="N138" s="3" t="str"/>
      <x:c r="O138" s="3" t="str"/>
      <x:c r="P138" s="3" t="str">
        <x:v>Confirmar</x:v>
      </x:c>
      <x:c r="Q138" s="4" t="str"/>
      <x:c r="R138" s="3" t="str"/>
    </x:row>
    <x:row r="139">
      <x:c r="A139" s="3" t="str"/>
      <x:c r="B139" s="3" t="str"/>
      <x:c r="C139" s="3" t="str"/>
      <x:c r="D139" s="3" t="str"/>
      <x:c r="E139" s="3" t="str"/>
      <x:c r="F139" s="3" t="str"/>
      <x:c r="G139" s="3" t="str"/>
      <x:c r="H139" s="3" t="str"/>
      <x:c r="I139" s="3" t="str"/>
      <x:c r="J139" s="3" t="str"/>
      <x:c r="K139" s="3" t="str">
        <x:v>Belo Horizonte</x:v>
      </x:c>
      <x:c r="L139" s="3" t="str">
        <x:v>MG</x:v>
      </x:c>
      <x:c r="M139" s="3" t="str"/>
      <x:c r="N139" s="3" t="str"/>
      <x:c r="O139" s="3" t="str"/>
      <x:c r="P139" s="3" t="str">
        <x:v>Confirmar</x:v>
      </x:c>
      <x:c r="Q139" s="4" t="str"/>
      <x:c r="R139" s="3" t="str"/>
    </x:row>
    <x:row r="140">
      <x:c r="A140" s="3" t="str"/>
      <x:c r="B140" s="3" t="str"/>
      <x:c r="C140" s="3" t="str"/>
      <x:c r="D140" s="3" t="str"/>
      <x:c r="E140" s="3" t="str"/>
      <x:c r="F140" s="3" t="str"/>
      <x:c r="G140" s="3" t="str"/>
      <x:c r="H140" s="3" t="str"/>
      <x:c r="I140" s="3" t="str"/>
      <x:c r="J140" s="3" t="str"/>
      <x:c r="K140" s="3" t="str">
        <x:v>Belo Horizonte</x:v>
      </x:c>
      <x:c r="L140" s="3" t="str">
        <x:v>MG</x:v>
      </x:c>
      <x:c r="M140" s="3" t="str"/>
      <x:c r="N140" s="3" t="str"/>
      <x:c r="O140" s="3" t="str"/>
      <x:c r="P140" s="3" t="str">
        <x:v>Confirmar</x:v>
      </x:c>
      <x:c r="Q140" s="4" t="str"/>
      <x:c r="R140" s="3" t="str"/>
    </x:row>
    <x:row r="141">
      <x:c r="A141" s="3" t="str"/>
      <x:c r="B141" s="3" t="str"/>
      <x:c r="C141" s="3" t="str"/>
      <x:c r="D141" s="3" t="str"/>
      <x:c r="E141" s="3" t="str"/>
      <x:c r="F141" s="3" t="str"/>
      <x:c r="G141" s="3" t="str"/>
      <x:c r="H141" s="3" t="str"/>
      <x:c r="I141" s="3" t="str"/>
      <x:c r="J141" s="3" t="str"/>
      <x:c r="K141" s="3" t="str">
        <x:v>Belo Horizonte</x:v>
      </x:c>
      <x:c r="L141" s="3" t="str">
        <x:v>MG</x:v>
      </x:c>
      <x:c r="M141" s="3" t="str"/>
      <x:c r="N141" s="3" t="str"/>
      <x:c r="O141" s="3" t="str"/>
      <x:c r="P141" s="3" t="str">
        <x:v>Confirmar</x:v>
      </x:c>
      <x:c r="Q141" s="4" t="str"/>
      <x:c r="R141" s="3" t="str"/>
    </x:row>
    <x:row r="142">
      <x:c r="A142" s="3" t="str"/>
      <x:c r="B142" s="3" t="str"/>
      <x:c r="C142" s="3" t="str"/>
      <x:c r="D142" s="3" t="str"/>
      <x:c r="E142" s="3" t="str"/>
      <x:c r="F142" s="3" t="str"/>
      <x:c r="G142" s="3" t="str"/>
      <x:c r="H142" s="3" t="str"/>
      <x:c r="I142" s="3" t="str"/>
      <x:c r="J142" s="3" t="str"/>
      <x:c r="K142" s="3" t="str">
        <x:v>Belo Horizonte</x:v>
      </x:c>
      <x:c r="L142" s="3" t="str">
        <x:v>MG</x:v>
      </x:c>
      <x:c r="M142" s="3" t="str"/>
      <x:c r="N142" s="3" t="str"/>
      <x:c r="O142" s="3" t="str"/>
      <x:c r="P142" s="3" t="str">
        <x:v>Confirmar</x:v>
      </x:c>
      <x:c r="Q142" s="4" t="str"/>
      <x:c r="R142" s="3" t="str"/>
    </x:row>
    <x:row r="143">
      <x:c r="A143" s="3" t="str"/>
      <x:c r="B143" s="3" t="str"/>
      <x:c r="C143" s="3" t="str"/>
      <x:c r="D143" s="3" t="str"/>
      <x:c r="E143" s="3" t="str"/>
      <x:c r="F143" s="3" t="str"/>
      <x:c r="G143" s="3" t="str"/>
      <x:c r="H143" s="3" t="str"/>
      <x:c r="I143" s="3" t="str"/>
      <x:c r="J143" s="3" t="str"/>
      <x:c r="K143" s="3" t="str">
        <x:v>Belo Horizonte</x:v>
      </x:c>
      <x:c r="L143" s="3" t="str">
        <x:v>MG</x:v>
      </x:c>
      <x:c r="M143" s="3" t="str"/>
      <x:c r="N143" s="3" t="str"/>
      <x:c r="O143" s="3" t="str"/>
      <x:c r="P143" s="3" t="str">
        <x:v>Confirmar</x:v>
      </x:c>
      <x:c r="Q143" s="4" t="str"/>
      <x:c r="R143" s="3" t="str"/>
    </x:row>
    <x:row r="144">
      <x:c r="A144" s="3" t="str"/>
      <x:c r="B144" s="3" t="str"/>
      <x:c r="C144" s="3" t="str"/>
      <x:c r="D144" s="3" t="str"/>
      <x:c r="E144" s="3" t="str"/>
      <x:c r="F144" s="3" t="str"/>
      <x:c r="G144" s="3" t="str"/>
      <x:c r="H144" s="3" t="str"/>
      <x:c r="I144" s="3" t="str"/>
      <x:c r="J144" s="3" t="str"/>
      <x:c r="K144" s="3" t="str">
        <x:v>Belo Horizonte</x:v>
      </x:c>
      <x:c r="L144" s="3" t="str">
        <x:v>MG</x:v>
      </x:c>
      <x:c r="M144" s="3" t="str"/>
      <x:c r="N144" s="3" t="str"/>
      <x:c r="O144" s="3" t="str"/>
      <x:c r="P144" s="3" t="str">
        <x:v>Confirmar</x:v>
      </x:c>
      <x:c r="Q144" s="4" t="str"/>
      <x:c r="R144" s="3" t="str"/>
    </x:row>
    <x:row r="145">
      <x:c r="A145" s="3" t="str"/>
      <x:c r="B145" s="3" t="str"/>
      <x:c r="C145" s="3" t="str"/>
      <x:c r="D145" s="3" t="str"/>
      <x:c r="E145" s="3" t="str"/>
      <x:c r="F145" s="3" t="str"/>
      <x:c r="G145" s="3" t="str"/>
      <x:c r="H145" s="3" t="str"/>
      <x:c r="I145" s="3" t="str"/>
      <x:c r="J145" s="3" t="str"/>
      <x:c r="K145" s="3" t="str">
        <x:v>Belo Horizonte</x:v>
      </x:c>
      <x:c r="L145" s="3" t="str">
        <x:v>MG</x:v>
      </x:c>
      <x:c r="M145" s="3" t="str"/>
      <x:c r="N145" s="3" t="str"/>
      <x:c r="O145" s="3" t="str"/>
      <x:c r="P145" s="3" t="str">
        <x:v>Confirmar</x:v>
      </x:c>
      <x:c r="Q145" s="4" t="str"/>
      <x:c r="R145" s="3" t="str"/>
    </x:row>
    <x:row r="146">
      <x:c r="A146" s="3" t="str"/>
      <x:c r="B146" s="3" t="str"/>
      <x:c r="C146" s="3" t="str"/>
      <x:c r="D146" s="3" t="str"/>
      <x:c r="E146" s="3" t="str"/>
      <x:c r="F146" s="3" t="str"/>
      <x:c r="G146" s="3" t="str"/>
      <x:c r="H146" s="3" t="str"/>
      <x:c r="I146" s="3" t="str"/>
      <x:c r="J146" s="3" t="str"/>
      <x:c r="K146" s="3" t="str">
        <x:v>Belo Horizonte</x:v>
      </x:c>
      <x:c r="L146" s="3" t="str">
        <x:v>MG</x:v>
      </x:c>
      <x:c r="M146" s="3" t="str"/>
      <x:c r="N146" s="3" t="str"/>
      <x:c r="O146" s="3" t="str"/>
      <x:c r="P146" s="3" t="str">
        <x:v>Confirmar</x:v>
      </x:c>
      <x:c r="Q146" s="4" t="str"/>
      <x:c r="R146" s="3" t="str"/>
    </x:row>
    <x:row r="147">
      <x:c r="A147" s="3" t="str"/>
      <x:c r="B147" s="3" t="str"/>
      <x:c r="C147" s="3" t="str"/>
      <x:c r="D147" s="3" t="str"/>
      <x:c r="E147" s="3" t="str"/>
      <x:c r="F147" s="3" t="str"/>
      <x:c r="G147" s="3" t="str"/>
      <x:c r="H147" s="3" t="str"/>
      <x:c r="I147" s="3" t="str"/>
      <x:c r="J147" s="3" t="str"/>
      <x:c r="K147" s="3" t="str">
        <x:v>Belo Horizonte</x:v>
      </x:c>
      <x:c r="L147" s="3" t="str">
        <x:v>MG</x:v>
      </x:c>
      <x:c r="M147" s="3" t="str"/>
      <x:c r="N147" s="3" t="str"/>
      <x:c r="O147" s="3" t="str"/>
      <x:c r="P147" s="3" t="str">
        <x:v>Confirmar</x:v>
      </x:c>
      <x:c r="Q147" s="4" t="str"/>
      <x:c r="R147" s="3" t="str"/>
    </x:row>
    <x:row r="148">
      <x:c r="A148" s="3" t="str"/>
      <x:c r="B148" s="3" t="str"/>
      <x:c r="C148" s="3" t="str"/>
      <x:c r="D148" s="3" t="str"/>
      <x:c r="E148" s="3" t="str"/>
      <x:c r="F148" s="3" t="str"/>
      <x:c r="G148" s="3" t="str"/>
      <x:c r="H148" s="3" t="str"/>
      <x:c r="I148" s="3" t="str"/>
      <x:c r="J148" s="3" t="str"/>
      <x:c r="K148" s="3" t="str">
        <x:v>Belo Horizonte</x:v>
      </x:c>
      <x:c r="L148" s="3" t="str">
        <x:v>MG</x:v>
      </x:c>
      <x:c r="M148" s="3" t="str"/>
      <x:c r="N148" s="3" t="str"/>
      <x:c r="O148" s="3" t="str"/>
      <x:c r="P148" s="3" t="str">
        <x:v>Confirmar</x:v>
      </x:c>
      <x:c r="Q148" s="4" t="str"/>
      <x:c r="R148" s="3" t="str"/>
    </x:row>
    <x:row r="149">
      <x:c r="A149" s="3" t="str"/>
      <x:c r="B149" s="3" t="str"/>
      <x:c r="C149" s="3" t="str"/>
      <x:c r="D149" s="3" t="str"/>
      <x:c r="E149" s="3" t="str"/>
      <x:c r="F149" s="3" t="str"/>
      <x:c r="G149" s="3" t="str"/>
      <x:c r="H149" s="3" t="str"/>
      <x:c r="I149" s="3" t="str"/>
      <x:c r="J149" s="3" t="str"/>
      <x:c r="K149" s="3" t="str">
        <x:v>Belo Horizonte</x:v>
      </x:c>
      <x:c r="L149" s="3" t="str">
        <x:v>MG</x:v>
      </x:c>
      <x:c r="M149" s="3" t="str"/>
      <x:c r="N149" s="3" t="str"/>
      <x:c r="O149" s="3" t="str"/>
      <x:c r="P149" s="3" t="str">
        <x:v>Confirmar</x:v>
      </x:c>
      <x:c r="Q149" s="4" t="str"/>
      <x:c r="R149" s="3" t="str"/>
    </x:row>
    <x:row r="150">
      <x:c r="A150" s="3" t="str"/>
      <x:c r="B150" s="3" t="str"/>
      <x:c r="C150" s="3" t="str"/>
      <x:c r="D150" s="3" t="str"/>
      <x:c r="E150" s="3" t="str"/>
      <x:c r="F150" s="3" t="str"/>
      <x:c r="G150" s="3" t="str"/>
      <x:c r="H150" s="3" t="str"/>
      <x:c r="I150" s="3" t="str"/>
      <x:c r="J150" s="3" t="str"/>
      <x:c r="K150" s="3" t="str">
        <x:v>Belo Horizonte</x:v>
      </x:c>
      <x:c r="L150" s="3" t="str">
        <x:v>MG</x:v>
      </x:c>
      <x:c r="M150" s="3" t="str"/>
      <x:c r="N150" s="3" t="str"/>
      <x:c r="O150" s="3" t="str"/>
      <x:c r="P150" s="3" t="str">
        <x:v>Confirmar</x:v>
      </x:c>
      <x:c r="Q150" s="4" t="str"/>
      <x:c r="R150" s="3" t="str"/>
    </x:row>
    <x:row r="151">
      <x:c r="A151" s="3" t="str"/>
      <x:c r="B151" s="3" t="str"/>
      <x:c r="C151" s="3" t="str"/>
      <x:c r="D151" s="3" t="str"/>
      <x:c r="E151" s="3" t="str"/>
      <x:c r="F151" s="3" t="str"/>
      <x:c r="G151" s="3" t="str"/>
      <x:c r="H151" s="3" t="str"/>
      <x:c r="I151" s="3" t="str"/>
      <x:c r="J151" s="3" t="str"/>
      <x:c r="K151" s="3" t="str">
        <x:v>Belo Horizonte</x:v>
      </x:c>
      <x:c r="L151" s="3" t="str">
        <x:v>MG</x:v>
      </x:c>
      <x:c r="M151" s="3" t="str"/>
      <x:c r="N151" s="3" t="str"/>
      <x:c r="O151" s="3" t="str"/>
      <x:c r="P151" s="3" t="str">
        <x:v>Confirmar</x:v>
      </x:c>
      <x:c r="Q151" s="4" t="str"/>
      <x:c r="R151" s="3" t="str"/>
    </x:row>
    <x:row r="152">
      <x:c r="A152" s="3" t="str"/>
      <x:c r="B152" s="3" t="str"/>
      <x:c r="C152" s="3" t="str"/>
      <x:c r="D152" s="3" t="str"/>
      <x:c r="E152" s="3" t="str"/>
      <x:c r="F152" s="3" t="str"/>
      <x:c r="G152" s="3" t="str"/>
      <x:c r="H152" s="3" t="str"/>
      <x:c r="I152" s="3" t="str"/>
      <x:c r="J152" s="3" t="str"/>
      <x:c r="K152" s="3" t="str">
        <x:v>Belo Horizonte</x:v>
      </x:c>
      <x:c r="L152" s="3" t="str">
        <x:v>MG</x:v>
      </x:c>
      <x:c r="M152" s="3" t="str"/>
      <x:c r="N152" s="3" t="str"/>
      <x:c r="O152" s="3" t="str"/>
      <x:c r="P152" s="3" t="str">
        <x:v>Confirmar</x:v>
      </x:c>
      <x:c r="Q152" s="4" t="str"/>
      <x:c r="R152" s="3" t="str"/>
    </x:row>
    <x:row r="153">
      <x:c r="A153" s="3" t="str"/>
      <x:c r="B153" s="3" t="str"/>
      <x:c r="C153" s="3" t="str"/>
      <x:c r="D153" s="3" t="str"/>
      <x:c r="E153" s="3" t="str"/>
      <x:c r="F153" s="3" t="str"/>
      <x:c r="G153" s="3" t="str"/>
      <x:c r="H153" s="3" t="str"/>
      <x:c r="I153" s="3" t="str"/>
      <x:c r="J153" s="3" t="str"/>
      <x:c r="K153" s="3" t="str">
        <x:v>Belo Horizonte</x:v>
      </x:c>
      <x:c r="L153" s="3" t="str">
        <x:v>MG</x:v>
      </x:c>
      <x:c r="M153" s="3" t="str"/>
      <x:c r="N153" s="3" t="str"/>
      <x:c r="O153" s="3" t="str"/>
      <x:c r="P153" s="3" t="str">
        <x:v>Confirmar</x:v>
      </x:c>
      <x:c r="Q153" s="4" t="str"/>
      <x:c r="R153" s="3" t="str"/>
    </x:row>
    <x:row r="154">
      <x:c r="A154" s="3" t="str"/>
      <x:c r="B154" s="3" t="str"/>
      <x:c r="C154" s="3" t="str"/>
      <x:c r="D154" s="3" t="str"/>
      <x:c r="E154" s="3" t="str"/>
      <x:c r="F154" s="3" t="str"/>
      <x:c r="G154" s="3" t="str"/>
      <x:c r="H154" s="3" t="str"/>
      <x:c r="I154" s="3" t="str"/>
      <x:c r="J154" s="3" t="str"/>
      <x:c r="K154" s="3" t="str">
        <x:v>Belo Horizonte</x:v>
      </x:c>
      <x:c r="L154" s="3" t="str">
        <x:v>MG</x:v>
      </x:c>
      <x:c r="M154" s="3" t="str"/>
      <x:c r="N154" s="3" t="str"/>
      <x:c r="O154" s="3" t="str"/>
      <x:c r="P154" s="3" t="str">
        <x:v>Confirmar</x:v>
      </x:c>
      <x:c r="Q154" s="4" t="str"/>
      <x:c r="R154" s="3" t="str"/>
    </x:row>
    <x:row r="155">
      <x:c r="A155" s="3" t="str"/>
      <x:c r="B155" s="3" t="str"/>
      <x:c r="C155" s="3" t="str"/>
      <x:c r="D155" s="3" t="str"/>
      <x:c r="E155" s="3" t="str"/>
      <x:c r="F155" s="3" t="str"/>
      <x:c r="G155" s="3" t="str"/>
      <x:c r="H155" s="3" t="str"/>
      <x:c r="I155" s="3" t="str"/>
      <x:c r="J155" s="3" t="str"/>
      <x:c r="K155" s="3" t="str">
        <x:v>Belo Horizonte</x:v>
      </x:c>
      <x:c r="L155" s="3" t="str">
        <x:v>MG</x:v>
      </x:c>
      <x:c r="M155" s="3" t="str"/>
      <x:c r="N155" s="3" t="str"/>
      <x:c r="O155" s="3" t="str"/>
      <x:c r="P155" s="3" t="str">
        <x:v>Confirmar</x:v>
      </x:c>
      <x:c r="Q155" s="4" t="str"/>
      <x:c r="R155" s="3" t="str"/>
    </x:row>
    <x:row r="156">
      <x:c r="A156" s="3" t="str"/>
      <x:c r="B156" s="3" t="str"/>
      <x:c r="C156" s="3" t="str"/>
      <x:c r="D156" s="3" t="str"/>
      <x:c r="E156" s="3" t="str"/>
      <x:c r="F156" s="3" t="str"/>
      <x:c r="G156" s="3" t="str"/>
      <x:c r="H156" s="3" t="str"/>
      <x:c r="I156" s="3" t="str"/>
      <x:c r="J156" s="3" t="str"/>
      <x:c r="K156" s="3" t="str">
        <x:v>Belo Horizonte</x:v>
      </x:c>
      <x:c r="L156" s="3" t="str">
        <x:v>MG</x:v>
      </x:c>
      <x:c r="M156" s="3" t="str"/>
      <x:c r="N156" s="3" t="str"/>
      <x:c r="O156" s="3" t="str"/>
      <x:c r="P156" s="3" t="str">
        <x:v>Confirmar</x:v>
      </x:c>
      <x:c r="Q156" s="4" t="str"/>
      <x:c r="R156" s="3" t="str"/>
    </x:row>
    <x:row r="157">
      <x:c r="A157" s="3" t="str"/>
      <x:c r="B157" s="3" t="str"/>
      <x:c r="C157" s="3" t="str"/>
      <x:c r="D157" s="3" t="str"/>
      <x:c r="E157" s="3" t="str"/>
      <x:c r="F157" s="3" t="str"/>
      <x:c r="G157" s="3" t="str"/>
      <x:c r="H157" s="3" t="str"/>
      <x:c r="I157" s="3" t="str"/>
      <x:c r="J157" s="3" t="str"/>
      <x:c r="K157" s="3" t="str">
        <x:v>Belo Horizonte</x:v>
      </x:c>
      <x:c r="L157" s="3" t="str">
        <x:v>MG</x:v>
      </x:c>
      <x:c r="M157" s="3" t="str"/>
      <x:c r="N157" s="3" t="str"/>
      <x:c r="O157" s="3" t="str"/>
      <x:c r="P157" s="3" t="str">
        <x:v>Confirmar</x:v>
      </x:c>
      <x:c r="Q157" s="4" t="str"/>
      <x:c r="R157" s="3" t="str"/>
    </x:row>
    <x:row r="158">
      <x:c r="A158" s="3" t="str"/>
      <x:c r="B158" s="3" t="str"/>
      <x:c r="C158" s="3" t="str"/>
      <x:c r="D158" s="3" t="str"/>
      <x:c r="E158" s="3" t="str"/>
      <x:c r="F158" s="3" t="str"/>
      <x:c r="G158" s="3" t="str"/>
      <x:c r="H158" s="3" t="str"/>
      <x:c r="I158" s="3" t="str"/>
      <x:c r="J158" s="3" t="str"/>
      <x:c r="K158" s="3" t="str">
        <x:v>Belo Horizonte</x:v>
      </x:c>
      <x:c r="L158" s="3" t="str">
        <x:v>MG</x:v>
      </x:c>
      <x:c r="M158" s="3" t="str"/>
      <x:c r="N158" s="3" t="str"/>
      <x:c r="O158" s="3" t="str"/>
      <x:c r="P158" s="3" t="str">
        <x:v>Confirmar</x:v>
      </x:c>
      <x:c r="Q158" s="4" t="str"/>
      <x:c r="R158" s="3" t="str"/>
    </x:row>
    <x:row r="159">
      <x:c r="A159" s="3" t="str"/>
      <x:c r="B159" s="3" t="str"/>
      <x:c r="C159" s="3" t="str"/>
      <x:c r="D159" s="3" t="str"/>
      <x:c r="E159" s="3" t="str"/>
      <x:c r="F159" s="3" t="str"/>
      <x:c r="G159" s="3" t="str"/>
      <x:c r="H159" s="3" t="str"/>
      <x:c r="I159" s="3" t="str"/>
      <x:c r="J159" s="3" t="str"/>
      <x:c r="K159" s="3" t="str">
        <x:v>Belo Horizonte</x:v>
      </x:c>
      <x:c r="L159" s="3" t="str">
        <x:v>MG</x:v>
      </x:c>
      <x:c r="M159" s="3" t="str"/>
      <x:c r="N159" s="3" t="str"/>
      <x:c r="O159" s="3" t="str"/>
      <x:c r="P159" s="3" t="str">
        <x:v>Confirmar</x:v>
      </x:c>
      <x:c r="Q159" s="4" t="str"/>
      <x:c r="R159" s="3" t="str"/>
    </x:row>
    <x:row r="160">
      <x:c r="A160" s="3" t="str"/>
      <x:c r="B160" s="3" t="str"/>
      <x:c r="C160" s="3" t="str"/>
      <x:c r="D160" s="3" t="str"/>
      <x:c r="E160" s="3" t="str"/>
      <x:c r="F160" s="3" t="str"/>
      <x:c r="G160" s="3" t="str"/>
      <x:c r="H160" s="3" t="str"/>
      <x:c r="I160" s="3" t="str"/>
      <x:c r="J160" s="3" t="str"/>
      <x:c r="K160" s="3" t="str">
        <x:v>Belo Horizonte</x:v>
      </x:c>
      <x:c r="L160" s="3" t="str">
        <x:v>MG</x:v>
      </x:c>
      <x:c r="M160" s="3" t="str"/>
      <x:c r="N160" s="3" t="str"/>
      <x:c r="O160" s="3" t="str"/>
      <x:c r="P160" s="3" t="str">
        <x:v>Confirmar</x:v>
      </x:c>
      <x:c r="Q160" s="4" t="str"/>
      <x:c r="R160" s="3" t="str"/>
    </x:row>
    <x:row r="161">
      <x:c r="A161" s="3" t="str"/>
      <x:c r="B161" s="3" t="str"/>
      <x:c r="C161" s="3" t="str"/>
      <x:c r="D161" s="3" t="str"/>
      <x:c r="E161" s="3" t="str"/>
      <x:c r="F161" s="3" t="str"/>
      <x:c r="G161" s="3" t="str"/>
      <x:c r="H161" s="3" t="str"/>
      <x:c r="I161" s="3" t="str"/>
      <x:c r="J161" s="3" t="str"/>
      <x:c r="K161" s="3" t="str">
        <x:v>Belo Horizonte</x:v>
      </x:c>
      <x:c r="L161" s="3" t="str">
        <x:v>MG</x:v>
      </x:c>
      <x:c r="M161" s="3" t="str"/>
      <x:c r="N161" s="3" t="str"/>
      <x:c r="O161" s="3" t="str"/>
      <x:c r="P161" s="3" t="str">
        <x:v>Confirmar</x:v>
      </x:c>
      <x:c r="Q161" s="4" t="str"/>
      <x:c r="R161" s="3" t="str"/>
    </x:row>
    <x:row r="162">
      <x:c r="A162" s="3" t="str"/>
      <x:c r="B162" s="3" t="str"/>
      <x:c r="C162" s="3" t="str"/>
      <x:c r="D162" s="3" t="str"/>
      <x:c r="E162" s="3" t="str"/>
      <x:c r="F162" s="3" t="str"/>
      <x:c r="G162" s="3" t="str"/>
      <x:c r="H162" s="3" t="str"/>
      <x:c r="I162" s="3" t="str"/>
      <x:c r="J162" s="3" t="str"/>
      <x:c r="K162" s="3" t="str">
        <x:v>Belo Horizonte</x:v>
      </x:c>
      <x:c r="L162" s="3" t="str">
        <x:v>MG</x:v>
      </x:c>
      <x:c r="M162" s="3" t="str"/>
      <x:c r="N162" s="3" t="str"/>
      <x:c r="O162" s="3" t="str"/>
      <x:c r="P162" s="3" t="str">
        <x:v>Confirmar</x:v>
      </x:c>
      <x:c r="Q162" s="4" t="str"/>
      <x:c r="R162" s="3" t="str"/>
    </x:row>
    <x:row r="163">
      <x:c r="A163" s="3" t="str"/>
      <x:c r="B163" s="3" t="str"/>
      <x:c r="C163" s="3" t="str"/>
      <x:c r="D163" s="3" t="str"/>
      <x:c r="E163" s="3" t="str"/>
      <x:c r="F163" s="3" t="str"/>
      <x:c r="G163" s="3" t="str"/>
      <x:c r="H163" s="3" t="str"/>
      <x:c r="I163" s="3" t="str"/>
      <x:c r="J163" s="3" t="str"/>
      <x:c r="K163" s="3" t="str">
        <x:v>Belo Horizonte</x:v>
      </x:c>
      <x:c r="L163" s="3" t="str">
        <x:v>MG</x:v>
      </x:c>
      <x:c r="M163" s="3" t="str"/>
      <x:c r="N163" s="3" t="str"/>
      <x:c r="O163" s="3" t="str"/>
      <x:c r="P163" s="3" t="str">
        <x:v>Confirmar</x:v>
      </x:c>
      <x:c r="Q163" s="4" t="str"/>
      <x:c r="R163" s="3" t="str"/>
    </x:row>
    <x:row r="164">
      <x:c r="A164" s="3" t="str"/>
      <x:c r="B164" s="3" t="str"/>
      <x:c r="C164" s="3" t="str"/>
      <x:c r="D164" s="3" t="str"/>
      <x:c r="E164" s="3" t="str"/>
      <x:c r="F164" s="3" t="str"/>
      <x:c r="G164" s="3" t="str"/>
      <x:c r="H164" s="3" t="str"/>
      <x:c r="I164" s="3" t="str"/>
      <x:c r="J164" s="3" t="str"/>
      <x:c r="K164" s="3" t="str">
        <x:v>Belo Horizonte</x:v>
      </x:c>
      <x:c r="L164" s="3" t="str">
        <x:v>MG</x:v>
      </x:c>
      <x:c r="M164" s="3" t="str"/>
      <x:c r="N164" s="3" t="str"/>
      <x:c r="O164" s="3" t="str"/>
      <x:c r="P164" s="3" t="str">
        <x:v>Confirmar</x:v>
      </x:c>
      <x:c r="Q164" s="4" t="str"/>
      <x:c r="R164" s="3" t="str"/>
    </x:row>
    <x:row r="165">
      <x:c r="A165" s="3" t="str"/>
      <x:c r="B165" s="3" t="str"/>
      <x:c r="C165" s="3" t="str"/>
      <x:c r="D165" s="3" t="str"/>
      <x:c r="E165" s="3" t="str"/>
      <x:c r="F165" s="3" t="str"/>
      <x:c r="G165" s="3" t="str"/>
      <x:c r="H165" s="3" t="str"/>
      <x:c r="I165" s="3" t="str"/>
      <x:c r="J165" s="3" t="str"/>
      <x:c r="K165" s="3" t="str">
        <x:v>Belo Horizonte</x:v>
      </x:c>
      <x:c r="L165" s="3" t="str">
        <x:v>MG</x:v>
      </x:c>
      <x:c r="M165" s="3" t="str"/>
      <x:c r="N165" s="3" t="str"/>
      <x:c r="O165" s="3" t="str"/>
      <x:c r="P165" s="3" t="str">
        <x:v>Confirmar</x:v>
      </x:c>
      <x:c r="Q165" s="4" t="str"/>
      <x:c r="R165" s="3" t="str"/>
    </x:row>
    <x:row r="166">
      <x:c r="A166" s="3" t="str"/>
      <x:c r="B166" s="3" t="str"/>
      <x:c r="C166" s="3" t="str"/>
      <x:c r="D166" s="3" t="str"/>
      <x:c r="E166" s="3" t="str"/>
      <x:c r="F166" s="3" t="str"/>
      <x:c r="G166" s="3" t="str"/>
      <x:c r="H166" s="3" t="str"/>
      <x:c r="I166" s="3" t="str"/>
      <x:c r="J166" s="3" t="str"/>
      <x:c r="K166" s="3" t="str">
        <x:v>Belo Horizonte</x:v>
      </x:c>
      <x:c r="L166" s="3" t="str">
        <x:v>MG</x:v>
      </x:c>
      <x:c r="M166" s="3" t="str"/>
      <x:c r="N166" s="3" t="str"/>
      <x:c r="O166" s="3" t="str"/>
      <x:c r="P166" s="3" t="str">
        <x:v>Confirmar</x:v>
      </x:c>
      <x:c r="Q166" s="4" t="str"/>
      <x:c r="R166" s="3" t="str"/>
    </x:row>
    <x:row r="167">
      <x:c r="A167" s="3" t="str"/>
      <x:c r="B167" s="3" t="str"/>
      <x:c r="C167" s="3" t="str"/>
      <x:c r="D167" s="3" t="str"/>
      <x:c r="E167" s="3" t="str"/>
      <x:c r="F167" s="3" t="str"/>
      <x:c r="G167" s="3" t="str"/>
      <x:c r="H167" s="3" t="str"/>
      <x:c r="I167" s="3" t="str"/>
      <x:c r="J167" s="3" t="str"/>
      <x:c r="K167" s="3" t="str">
        <x:v>Belo Horizonte</x:v>
      </x:c>
      <x:c r="L167" s="3" t="str">
        <x:v>MG</x:v>
      </x:c>
      <x:c r="M167" s="3" t="str"/>
      <x:c r="N167" s="3" t="str"/>
      <x:c r="O167" s="3" t="str"/>
      <x:c r="P167" s="3" t="str">
        <x:v>Confirmar</x:v>
      </x:c>
      <x:c r="Q167" s="4" t="str"/>
      <x:c r="R167" s="3" t="str"/>
    </x:row>
    <x:row r="168">
      <x:c r="A168" s="3" t="str"/>
      <x:c r="B168" s="3" t="str"/>
      <x:c r="C168" s="3" t="str"/>
      <x:c r="D168" s="3" t="str"/>
      <x:c r="E168" s="3" t="str"/>
      <x:c r="F168" s="3" t="str"/>
      <x:c r="G168" s="3" t="str"/>
      <x:c r="H168" s="3" t="str"/>
      <x:c r="I168" s="3" t="str"/>
      <x:c r="J168" s="3" t="str"/>
      <x:c r="K168" s="3" t="str">
        <x:v>Belo Horizonte</x:v>
      </x:c>
      <x:c r="L168" s="3" t="str">
        <x:v>MG</x:v>
      </x:c>
      <x:c r="M168" s="3" t="str"/>
      <x:c r="N168" s="3" t="str"/>
      <x:c r="O168" s="3" t="str"/>
      <x:c r="P168" s="3" t="str">
        <x:v>Confirmar</x:v>
      </x:c>
      <x:c r="Q168" s="4" t="str"/>
      <x:c r="R168" s="3" t="str"/>
    </x:row>
    <x:row r="169">
      <x:c r="A169" s="3" t="str"/>
      <x:c r="B169" s="3" t="str"/>
      <x:c r="C169" s="3" t="str"/>
      <x:c r="D169" s="3" t="str"/>
      <x:c r="E169" s="3" t="str"/>
      <x:c r="F169" s="3" t="str"/>
      <x:c r="G169" s="3" t="str"/>
      <x:c r="H169" s="3" t="str"/>
      <x:c r="I169" s="3" t="str"/>
      <x:c r="J169" s="3" t="str"/>
      <x:c r="K169" s="3" t="str">
        <x:v>Belo Horizonte</x:v>
      </x:c>
      <x:c r="L169" s="3" t="str">
        <x:v>MG</x:v>
      </x:c>
      <x:c r="M169" s="3" t="str"/>
      <x:c r="N169" s="3" t="str"/>
      <x:c r="O169" s="3" t="str"/>
      <x:c r="P169" s="3" t="str">
        <x:v>Confirmar</x:v>
      </x:c>
      <x:c r="Q169" s="4" t="str"/>
      <x:c r="R169" s="3" t="str"/>
    </x:row>
    <x:row r="170">
      <x:c r="A170" s="3" t="str"/>
      <x:c r="B170" s="3" t="str"/>
      <x:c r="C170" s="3" t="str"/>
      <x:c r="D170" s="3" t="str"/>
      <x:c r="E170" s="3" t="str"/>
      <x:c r="F170" s="3" t="str"/>
      <x:c r="G170" s="3" t="str"/>
      <x:c r="H170" s="3" t="str"/>
      <x:c r="I170" s="3" t="str"/>
      <x:c r="J170" s="3" t="str"/>
      <x:c r="K170" s="3" t="str">
        <x:v>Belo Horizonte</x:v>
      </x:c>
      <x:c r="L170" s="3" t="str">
        <x:v>MG</x:v>
      </x:c>
      <x:c r="M170" s="3" t="str"/>
      <x:c r="N170" s="3" t="str"/>
      <x:c r="O170" s="3" t="str"/>
      <x:c r="P170" s="3" t="str">
        <x:v>Confirmar</x:v>
      </x:c>
      <x:c r="Q170" s="4" t="str"/>
      <x:c r="R170" s="3" t="str"/>
    </x:row>
    <x:row r="171">
      <x:c r="A171" s="3" t="str"/>
      <x:c r="B171" s="3" t="str"/>
      <x:c r="C171" s="3" t="str"/>
      <x:c r="D171" s="3" t="str"/>
      <x:c r="E171" s="3" t="str"/>
      <x:c r="F171" s="3" t="str"/>
      <x:c r="G171" s="3" t="str"/>
      <x:c r="H171" s="3" t="str"/>
      <x:c r="I171" s="3" t="str"/>
      <x:c r="J171" s="3" t="str"/>
      <x:c r="K171" s="3" t="str">
        <x:v>Belo Horizonte</x:v>
      </x:c>
      <x:c r="L171" s="3" t="str">
        <x:v>MG</x:v>
      </x:c>
      <x:c r="M171" s="3" t="str"/>
      <x:c r="N171" s="3" t="str"/>
      <x:c r="O171" s="3" t="str"/>
      <x:c r="P171" s="3" t="str">
        <x:v>Confirmar</x:v>
      </x:c>
      <x:c r="Q171" s="4" t="str"/>
      <x:c r="R171" s="3" t="str"/>
    </x:row>
    <x:row r="172">
      <x:c r="A172" s="3" t="str"/>
      <x:c r="B172" s="3" t="str"/>
      <x:c r="C172" s="3" t="str"/>
      <x:c r="D172" s="3" t="str"/>
      <x:c r="E172" s="3" t="str"/>
      <x:c r="F172" s="3" t="str"/>
      <x:c r="G172" s="3" t="str"/>
      <x:c r="H172" s="3" t="str"/>
      <x:c r="I172" s="3" t="str"/>
      <x:c r="J172" s="3" t="str"/>
      <x:c r="K172" s="3" t="str">
        <x:v>Belo Horizonte</x:v>
      </x:c>
      <x:c r="L172" s="3" t="str">
        <x:v>MG</x:v>
      </x:c>
      <x:c r="M172" s="3" t="str"/>
      <x:c r="N172" s="3" t="str"/>
      <x:c r="O172" s="3" t="str"/>
      <x:c r="P172" s="3" t="str">
        <x:v>Confirmar</x:v>
      </x:c>
      <x:c r="Q172" s="4" t="str"/>
      <x:c r="R172" s="3" t="str"/>
    </x:row>
    <x:row r="173">
      <x:c r="A173" s="3" t="str"/>
      <x:c r="B173" s="3" t="str"/>
      <x:c r="C173" s="3" t="str"/>
      <x:c r="D173" s="3" t="str"/>
      <x:c r="E173" s="3" t="str"/>
      <x:c r="F173" s="3" t="str"/>
      <x:c r="G173" s="3" t="str"/>
      <x:c r="H173" s="3" t="str"/>
      <x:c r="I173" s="3" t="str"/>
      <x:c r="J173" s="3" t="str"/>
      <x:c r="K173" s="3" t="str">
        <x:v>Belo Horizonte</x:v>
      </x:c>
      <x:c r="L173" s="3" t="str">
        <x:v>MG</x:v>
      </x:c>
      <x:c r="M173" s="3" t="str"/>
      <x:c r="N173" s="3" t="str"/>
      <x:c r="O173" s="3" t="str"/>
      <x:c r="P173" s="3" t="str">
        <x:v>Confirmar</x:v>
      </x:c>
      <x:c r="Q173" s="4" t="str"/>
      <x:c r="R173" s="3" t="str"/>
    </x:row>
    <x:row r="174">
      <x:c r="A174" s="3" t="str"/>
      <x:c r="B174" s="3" t="str"/>
      <x:c r="C174" s="3" t="str"/>
      <x:c r="D174" s="3" t="str"/>
      <x:c r="E174" s="3" t="str"/>
      <x:c r="F174" s="3" t="str"/>
      <x:c r="G174" s="3" t="str"/>
      <x:c r="H174" s="3" t="str"/>
      <x:c r="I174" s="3" t="str"/>
      <x:c r="J174" s="3" t="str"/>
      <x:c r="K174" s="3" t="str">
        <x:v>Belo Horizonte</x:v>
      </x:c>
      <x:c r="L174" s="3" t="str">
        <x:v>MG</x:v>
      </x:c>
      <x:c r="M174" s="3" t="str"/>
      <x:c r="N174" s="3" t="str"/>
      <x:c r="O174" s="3" t="str"/>
      <x:c r="P174" s="3" t="str">
        <x:v>Confirmar</x:v>
      </x:c>
      <x:c r="Q174" s="4" t="str"/>
      <x:c r="R174" s="3" t="str"/>
    </x:row>
    <x:row r="175">
      <x:c r="A175" s="3" t="str"/>
      <x:c r="B175" s="3" t="str"/>
      <x:c r="C175" s="3" t="str"/>
      <x:c r="D175" s="3" t="str"/>
      <x:c r="E175" s="3" t="str"/>
      <x:c r="F175" s="3" t="str"/>
      <x:c r="G175" s="3" t="str"/>
      <x:c r="H175" s="3" t="str"/>
      <x:c r="I175" s="3" t="str"/>
      <x:c r="J175" s="3" t="str"/>
      <x:c r="K175" s="3" t="str">
        <x:v>Belo Horizonte</x:v>
      </x:c>
      <x:c r="L175" s="3" t="str">
        <x:v>MG</x:v>
      </x:c>
      <x:c r="M175" s="3" t="str"/>
      <x:c r="N175" s="3" t="str"/>
      <x:c r="O175" s="3" t="str"/>
      <x:c r="P175" s="3" t="str">
        <x:v>Confirmar</x:v>
      </x:c>
      <x:c r="Q175" s="4" t="str"/>
      <x:c r="R175" s="3" t="str"/>
    </x:row>
    <x:row r="176">
      <x:c r="A176" s="3" t="str"/>
      <x:c r="B176" s="3" t="str"/>
      <x:c r="C176" s="3" t="str"/>
      <x:c r="D176" s="3" t="str"/>
      <x:c r="E176" s="3" t="str"/>
      <x:c r="F176" s="3" t="str"/>
      <x:c r="G176" s="3" t="str"/>
      <x:c r="H176" s="3" t="str"/>
      <x:c r="I176" s="3" t="str"/>
      <x:c r="J176" s="3" t="str"/>
      <x:c r="K176" s="3" t="str">
        <x:v>Belo Horizonte</x:v>
      </x:c>
      <x:c r="L176" s="3" t="str">
        <x:v>MG</x:v>
      </x:c>
      <x:c r="M176" s="3" t="str"/>
      <x:c r="N176" s="3" t="str"/>
      <x:c r="O176" s="3" t="str"/>
      <x:c r="P176" s="3" t="str">
        <x:v>Confirmar</x:v>
      </x:c>
      <x:c r="Q176" s="4" t="str"/>
      <x:c r="R176" s="3" t="str"/>
    </x:row>
    <x:row r="177">
      <x:c r="A177" s="3" t="str"/>
      <x:c r="B177" s="3" t="str"/>
      <x:c r="C177" s="3" t="str"/>
      <x:c r="D177" s="3" t="str"/>
      <x:c r="E177" s="3" t="str"/>
      <x:c r="F177" s="3" t="str"/>
      <x:c r="G177" s="3" t="str"/>
      <x:c r="H177" s="3" t="str"/>
      <x:c r="I177" s="3" t="str"/>
      <x:c r="J177" s="3" t="str"/>
      <x:c r="K177" s="3" t="str">
        <x:v>Belo Horizonte</x:v>
      </x:c>
      <x:c r="L177" s="3" t="str">
        <x:v>MG</x:v>
      </x:c>
      <x:c r="M177" s="3" t="str"/>
      <x:c r="N177" s="3" t="str"/>
      <x:c r="O177" s="3" t="str"/>
      <x:c r="P177" s="3" t="str">
        <x:v>Confirmar</x:v>
      </x:c>
      <x:c r="Q177" s="4" t="str"/>
      <x:c r="R177" s="3" t="str"/>
    </x:row>
    <x:row r="178">
      <x:c r="A178" s="3" t="str"/>
      <x:c r="B178" s="3" t="str"/>
      <x:c r="C178" s="3" t="str"/>
      <x:c r="D178" s="3" t="str"/>
      <x:c r="E178" s="3" t="str"/>
      <x:c r="F178" s="3" t="str"/>
      <x:c r="G178" s="3" t="str"/>
      <x:c r="H178" s="3" t="str"/>
      <x:c r="I178" s="3" t="str"/>
      <x:c r="J178" s="3" t="str"/>
      <x:c r="K178" s="3" t="str">
        <x:v>Belo Horizonte</x:v>
      </x:c>
      <x:c r="L178" s="3" t="str">
        <x:v>MG</x:v>
      </x:c>
      <x:c r="M178" s="3" t="str"/>
      <x:c r="N178" s="3" t="str"/>
      <x:c r="O178" s="3" t="str"/>
      <x:c r="P178" s="3" t="str">
        <x:v>Confirmar</x:v>
      </x:c>
      <x:c r="Q178" s="4" t="str"/>
      <x:c r="R178" s="3" t="str"/>
    </x:row>
    <x:row r="179">
      <x:c r="A179" s="3" t="str"/>
      <x:c r="B179" s="3" t="str"/>
      <x:c r="C179" s="3" t="str"/>
      <x:c r="D179" s="3" t="str"/>
      <x:c r="E179" s="3" t="str"/>
      <x:c r="F179" s="3" t="str"/>
      <x:c r="G179" s="3" t="str"/>
      <x:c r="H179" s="3" t="str"/>
      <x:c r="I179" s="3" t="str"/>
      <x:c r="J179" s="3" t="str"/>
      <x:c r="K179" s="3" t="str">
        <x:v>Belo Horizonte</x:v>
      </x:c>
      <x:c r="L179" s="3" t="str">
        <x:v>MG</x:v>
      </x:c>
      <x:c r="M179" s="3" t="str"/>
      <x:c r="N179" s="3" t="str"/>
      <x:c r="O179" s="3" t="str"/>
      <x:c r="P179" s="3" t="str">
        <x:v>Confirmar</x:v>
      </x:c>
      <x:c r="Q179" s="4" t="str"/>
      <x:c r="R179" s="3" t="str"/>
    </x:row>
    <x:row r="180">
      <x:c r="A180" s="3" t="str"/>
      <x:c r="B180" s="3" t="str"/>
      <x:c r="C180" s="3" t="str"/>
      <x:c r="D180" s="3" t="str"/>
      <x:c r="E180" s="3" t="str"/>
      <x:c r="F180" s="3" t="str"/>
      <x:c r="G180" s="3" t="str"/>
      <x:c r="H180" s="3" t="str"/>
      <x:c r="I180" s="3" t="str"/>
      <x:c r="J180" s="3" t="str"/>
      <x:c r="K180" s="3" t="str">
        <x:v>Belo Horizonte</x:v>
      </x:c>
      <x:c r="L180" s="3" t="str">
        <x:v>MG</x:v>
      </x:c>
      <x:c r="M180" s="3" t="str"/>
      <x:c r="N180" s="3" t="str"/>
      <x:c r="O180" s="3" t="str"/>
      <x:c r="P180" s="3" t="str">
        <x:v>Confirmar</x:v>
      </x:c>
      <x:c r="Q180" s="4" t="str"/>
      <x:c r="R180" s="3" t="str"/>
    </x:row>
    <x:row r="181">
      <x:c r="A181" s="3" t="str"/>
      <x:c r="B181" s="3" t="str"/>
      <x:c r="C181" s="3" t="str"/>
      <x:c r="D181" s="3" t="str"/>
      <x:c r="E181" s="3" t="str"/>
      <x:c r="F181" s="3" t="str"/>
      <x:c r="G181" s="3" t="str"/>
      <x:c r="H181" s="3" t="str"/>
      <x:c r="I181" s="3" t="str"/>
      <x:c r="J181" s="3" t="str"/>
      <x:c r="K181" s="3" t="str">
        <x:v>Belo Horizonte</x:v>
      </x:c>
      <x:c r="L181" s="3" t="str">
        <x:v>MG</x:v>
      </x:c>
      <x:c r="M181" s="3" t="str"/>
      <x:c r="N181" s="3" t="str"/>
      <x:c r="O181" s="3" t="str"/>
      <x:c r="P181" s="3" t="str">
        <x:v>Confirmar</x:v>
      </x:c>
      <x:c r="Q181" s="4" t="str"/>
      <x:c r="R181" s="3" t="str"/>
    </x:row>
    <x:row r="182">
      <x:c r="A182" s="3" t="str"/>
      <x:c r="B182" s="3" t="str"/>
      <x:c r="C182" s="3" t="str"/>
      <x:c r="D182" s="3" t="str"/>
      <x:c r="E182" s="3" t="str"/>
      <x:c r="F182" s="3" t="str"/>
      <x:c r="G182" s="3" t="str"/>
      <x:c r="H182" s="3" t="str"/>
      <x:c r="I182" s="3" t="str"/>
      <x:c r="J182" s="3" t="str"/>
      <x:c r="K182" s="3" t="str">
        <x:v>Belo Horizonte</x:v>
      </x:c>
      <x:c r="L182" s="3" t="str">
        <x:v>MG</x:v>
      </x:c>
      <x:c r="M182" s="3" t="str"/>
      <x:c r="N182" s="3" t="str"/>
      <x:c r="O182" s="3" t="str"/>
      <x:c r="P182" s="3" t="str">
        <x:v>Confirmar</x:v>
      </x:c>
      <x:c r="Q182" s="4" t="str"/>
      <x:c r="R182" s="3" t="str"/>
    </x:row>
    <x:row r="183">
      <x:c r="A183" s="3" t="str"/>
      <x:c r="B183" s="3" t="str"/>
      <x:c r="C183" s="3" t="str"/>
      <x:c r="D183" s="3" t="str"/>
      <x:c r="E183" s="3" t="str"/>
      <x:c r="F183" s="3" t="str"/>
      <x:c r="G183" s="3" t="str"/>
      <x:c r="H183" s="3" t="str"/>
      <x:c r="I183" s="3" t="str"/>
      <x:c r="J183" s="3" t="str"/>
      <x:c r="K183" s="3" t="str">
        <x:v>Belo Horizonte</x:v>
      </x:c>
      <x:c r="L183" s="3" t="str">
        <x:v>MG</x:v>
      </x:c>
      <x:c r="M183" s="3" t="str"/>
      <x:c r="N183" s="3" t="str"/>
      <x:c r="O183" s="3" t="str"/>
      <x:c r="P183" s="3" t="str">
        <x:v>Confirmar</x:v>
      </x:c>
      <x:c r="Q183" s="4" t="str"/>
      <x:c r="R183" s="3" t="str"/>
    </x:row>
    <x:row r="184">
      <x:c r="A184" s="3" t="str"/>
      <x:c r="B184" s="3" t="str"/>
      <x:c r="C184" s="3" t="str"/>
      <x:c r="D184" s="3" t="str"/>
      <x:c r="E184" s="3" t="str"/>
      <x:c r="F184" s="3" t="str"/>
      <x:c r="G184" s="3" t="str"/>
      <x:c r="H184" s="3" t="str"/>
      <x:c r="I184" s="3" t="str"/>
      <x:c r="J184" s="3" t="str"/>
      <x:c r="K184" s="3" t="str">
        <x:v>Belo Horizonte</x:v>
      </x:c>
      <x:c r="L184" s="3" t="str">
        <x:v>MG</x:v>
      </x:c>
      <x:c r="M184" s="3" t="str"/>
      <x:c r="N184" s="3" t="str"/>
      <x:c r="O184" s="3" t="str"/>
      <x:c r="P184" s="3" t="str">
        <x:v>Confirmar</x:v>
      </x:c>
      <x:c r="Q184" s="4" t="str"/>
      <x:c r="R184" s="3" t="str"/>
    </x:row>
    <x:row r="185">
      <x:c r="A185" s="3" t="str"/>
      <x:c r="B185" s="3" t="str"/>
      <x:c r="C185" s="3" t="str"/>
      <x:c r="D185" s="3" t="str"/>
      <x:c r="E185" s="3" t="str"/>
      <x:c r="F185" s="3" t="str"/>
      <x:c r="G185" s="3" t="str"/>
      <x:c r="H185" s="3" t="str"/>
      <x:c r="I185" s="3" t="str"/>
      <x:c r="J185" s="3" t="str"/>
      <x:c r="K185" s="3" t="str">
        <x:v>Belo Horizonte</x:v>
      </x:c>
      <x:c r="L185" s="3" t="str">
        <x:v>MG</x:v>
      </x:c>
      <x:c r="M185" s="3" t="str"/>
      <x:c r="N185" s="3" t="str"/>
      <x:c r="O185" s="3" t="str"/>
      <x:c r="P185" s="3" t="str">
        <x:v>Confirmar</x:v>
      </x:c>
      <x:c r="Q185" s="4" t="str"/>
      <x:c r="R185" s="3" t="str"/>
    </x:row>
    <x:row r="186">
      <x:c r="A186" s="3" t="str"/>
      <x:c r="B186" s="3" t="str"/>
      <x:c r="C186" s="3" t="str"/>
      <x:c r="D186" s="3" t="str"/>
      <x:c r="E186" s="3" t="str"/>
      <x:c r="F186" s="3" t="str"/>
      <x:c r="G186" s="3" t="str"/>
      <x:c r="H186" s="3" t="str"/>
      <x:c r="I186" s="3" t="str"/>
      <x:c r="J186" s="3" t="str"/>
      <x:c r="K186" s="3" t="str">
        <x:v>Belo Horizonte</x:v>
      </x:c>
      <x:c r="L186" s="3" t="str">
        <x:v>MG</x:v>
      </x:c>
      <x:c r="M186" s="3" t="str"/>
      <x:c r="N186" s="3" t="str"/>
      <x:c r="O186" s="3" t="str"/>
      <x:c r="P186" s="3" t="str">
        <x:v>Confirmar</x:v>
      </x:c>
      <x:c r="Q186" s="4" t="str"/>
      <x:c r="R186" s="3" t="str"/>
    </x:row>
    <x:row r="187">
      <x:c r="A187" s="3" t="str"/>
      <x:c r="B187" s="3" t="str"/>
      <x:c r="C187" s="3" t="str"/>
      <x:c r="D187" s="3" t="str"/>
      <x:c r="E187" s="3" t="str"/>
      <x:c r="F187" s="3" t="str"/>
      <x:c r="G187" s="3" t="str"/>
      <x:c r="H187" s="3" t="str"/>
      <x:c r="I187" s="3" t="str"/>
      <x:c r="J187" s="3" t="str"/>
      <x:c r="K187" s="3" t="str">
        <x:v>Belo Horizonte</x:v>
      </x:c>
      <x:c r="L187" s="3" t="str">
        <x:v>MG</x:v>
      </x:c>
      <x:c r="M187" s="3" t="str"/>
      <x:c r="N187" s="3" t="str"/>
      <x:c r="O187" s="3" t="str"/>
      <x:c r="P187" s="3" t="str">
        <x:v>Confirmar</x:v>
      </x:c>
      <x:c r="Q187" s="4" t="str"/>
      <x:c r="R187" s="3" t="str"/>
    </x:row>
    <x:row r="188">
      <x:c r="A188" s="3" t="str"/>
      <x:c r="B188" s="3" t="str"/>
      <x:c r="C188" s="3" t="str"/>
      <x:c r="D188" s="3" t="str"/>
      <x:c r="E188" s="3" t="str"/>
      <x:c r="F188" s="3" t="str"/>
      <x:c r="G188" s="3" t="str"/>
      <x:c r="H188" s="3" t="str"/>
      <x:c r="I188" s="3" t="str"/>
      <x:c r="J188" s="3" t="str"/>
      <x:c r="K188" s="3" t="str">
        <x:v>Belo Horizonte</x:v>
      </x:c>
      <x:c r="L188" s="3" t="str">
        <x:v>MG</x:v>
      </x:c>
      <x:c r="M188" s="3" t="str"/>
      <x:c r="N188" s="3" t="str"/>
      <x:c r="O188" s="3" t="str"/>
      <x:c r="P188" s="3" t="str">
        <x:v>Confirmar</x:v>
      </x:c>
      <x:c r="Q188" s="4" t="str"/>
      <x:c r="R188" s="3" t="str"/>
    </x:row>
    <x:row r="189">
      <x:c r="A189" s="3" t="str"/>
      <x:c r="B189" s="3" t="str"/>
      <x:c r="C189" s="3" t="str"/>
      <x:c r="D189" s="3" t="str"/>
      <x:c r="E189" s="3" t="str"/>
      <x:c r="F189" s="3" t="str"/>
      <x:c r="G189" s="3" t="str"/>
      <x:c r="H189" s="3" t="str"/>
      <x:c r="I189" s="3" t="str"/>
      <x:c r="J189" s="3" t="str"/>
      <x:c r="K189" s="3" t="str">
        <x:v>Belo Horizonte</x:v>
      </x:c>
      <x:c r="L189" s="3" t="str">
        <x:v>MG</x:v>
      </x:c>
      <x:c r="M189" s="3" t="str"/>
      <x:c r="N189" s="3" t="str"/>
      <x:c r="O189" s="3" t="str"/>
      <x:c r="P189" s="3" t="str">
        <x:v>Confirmar</x:v>
      </x:c>
      <x:c r="Q189" s="4" t="str"/>
      <x:c r="R189" s="3" t="str"/>
    </x:row>
    <x:row r="190">
      <x:c r="A190" s="3" t="str"/>
      <x:c r="B190" s="3" t="str"/>
      <x:c r="C190" s="3" t="str"/>
      <x:c r="D190" s="3" t="str"/>
      <x:c r="E190" s="3" t="str"/>
      <x:c r="F190" s="3" t="str"/>
      <x:c r="G190" s="3" t="str"/>
      <x:c r="H190" s="3" t="str"/>
      <x:c r="I190" s="3" t="str"/>
      <x:c r="J190" s="3" t="str"/>
      <x:c r="K190" s="3" t="str">
        <x:v>Belo Horizonte</x:v>
      </x:c>
      <x:c r="L190" s="3" t="str">
        <x:v>MG</x:v>
      </x:c>
      <x:c r="M190" s="3" t="str"/>
      <x:c r="N190" s="3" t="str"/>
      <x:c r="O190" s="3" t="str"/>
      <x:c r="P190" s="3" t="str">
        <x:v>Confirmar</x:v>
      </x:c>
      <x:c r="Q190" s="4" t="str"/>
      <x:c r="R190" s="3" t="str"/>
    </x:row>
    <x:row r="191">
      <x:c r="A191" s="3" t="str"/>
      <x:c r="B191" s="3" t="str"/>
      <x:c r="C191" s="3" t="str"/>
      <x:c r="D191" s="3" t="str"/>
      <x:c r="E191" s="3" t="str"/>
      <x:c r="F191" s="3" t="str"/>
      <x:c r="G191" s="3" t="str"/>
      <x:c r="H191" s="3" t="str"/>
      <x:c r="I191" s="3" t="str"/>
      <x:c r="J191" s="3" t="str"/>
      <x:c r="K191" s="3" t="str">
        <x:v>Belo Horizonte</x:v>
      </x:c>
      <x:c r="L191" s="3" t="str">
        <x:v>MG</x:v>
      </x:c>
      <x:c r="M191" s="3" t="str"/>
      <x:c r="N191" s="3" t="str"/>
      <x:c r="O191" s="3" t="str"/>
      <x:c r="P191" s="3" t="str">
        <x:v>Confirmar</x:v>
      </x:c>
      <x:c r="Q191" s="4" t="str"/>
      <x:c r="R191" s="3" t="str"/>
    </x:row>
    <x:row r="192">
      <x:c r="A192" s="3" t="str"/>
      <x:c r="B192" s="3" t="str"/>
      <x:c r="C192" s="3" t="str"/>
      <x:c r="D192" s="3" t="str"/>
      <x:c r="E192" s="3" t="str"/>
      <x:c r="F192" s="3" t="str"/>
      <x:c r="G192" s="3" t="str"/>
      <x:c r="H192" s="3" t="str"/>
      <x:c r="I192" s="3" t="str"/>
      <x:c r="J192" s="3" t="str"/>
      <x:c r="K192" s="3" t="str">
        <x:v>Belo Horizonte</x:v>
      </x:c>
      <x:c r="L192" s="3" t="str">
        <x:v>MG</x:v>
      </x:c>
      <x:c r="M192" s="3" t="str"/>
      <x:c r="N192" s="3" t="str"/>
      <x:c r="O192" s="3" t="str"/>
      <x:c r="P192" s="3" t="str">
        <x:v>Confirmar</x:v>
      </x:c>
      <x:c r="Q192" s="4" t="str"/>
      <x:c r="R192" s="3" t="str"/>
    </x:row>
    <x:row r="193">
      <x:c r="A193" s="3" t="str"/>
      <x:c r="B193" s="3" t="str"/>
      <x:c r="C193" s="3" t="str"/>
      <x:c r="D193" s="3" t="str"/>
      <x:c r="E193" s="3" t="str"/>
      <x:c r="F193" s="3" t="str"/>
      <x:c r="G193" s="3" t="str"/>
      <x:c r="H193" s="3" t="str"/>
      <x:c r="I193" s="3" t="str"/>
      <x:c r="J193" s="3" t="str"/>
      <x:c r="K193" s="3" t="str">
        <x:v>Belo Horizonte</x:v>
      </x:c>
      <x:c r="L193" s="3" t="str">
        <x:v>MG</x:v>
      </x:c>
      <x:c r="M193" s="3" t="str"/>
      <x:c r="N193" s="3" t="str"/>
      <x:c r="O193" s="3" t="str"/>
      <x:c r="P193" s="3" t="str">
        <x:v>Confirmar</x:v>
      </x:c>
      <x:c r="Q193" s="4" t="str"/>
      <x:c r="R193" s="3" t="str"/>
    </x:row>
    <x:row r="194">
      <x:c r="A194" s="3" t="str"/>
      <x:c r="B194" s="3" t="str"/>
      <x:c r="C194" s="3" t="str"/>
      <x:c r="D194" s="3" t="str"/>
      <x:c r="E194" s="3" t="str"/>
      <x:c r="F194" s="3" t="str"/>
      <x:c r="G194" s="3" t="str"/>
      <x:c r="H194" s="3" t="str"/>
      <x:c r="I194" s="3" t="str"/>
      <x:c r="J194" s="3" t="str"/>
      <x:c r="K194" s="3" t="str">
        <x:v>Belo Horizonte</x:v>
      </x:c>
      <x:c r="L194" s="3" t="str">
        <x:v>MG</x:v>
      </x:c>
      <x:c r="M194" s="3" t="str"/>
      <x:c r="N194" s="3" t="str"/>
      <x:c r="O194" s="3" t="str"/>
      <x:c r="P194" s="3" t="str">
        <x:v>Confirmar</x:v>
      </x:c>
      <x:c r="Q194" s="4" t="str"/>
      <x:c r="R194" s="3" t="str"/>
    </x:row>
    <x:row r="195">
      <x:c r="A195" s="3" t="str"/>
      <x:c r="B195" s="3" t="str"/>
      <x:c r="C195" s="3" t="str"/>
      <x:c r="D195" s="3" t="str"/>
      <x:c r="E195" s="3" t="str"/>
      <x:c r="F195" s="3" t="str"/>
      <x:c r="G195" s="3" t="str"/>
      <x:c r="H195" s="3" t="str"/>
      <x:c r="I195" s="3" t="str"/>
      <x:c r="J195" s="3" t="str"/>
      <x:c r="K195" s="3" t="str">
        <x:v>Belo Horizonte</x:v>
      </x:c>
      <x:c r="L195" s="3" t="str">
        <x:v>MG</x:v>
      </x:c>
      <x:c r="M195" s="3" t="str"/>
      <x:c r="N195" s="3" t="str"/>
      <x:c r="O195" s="3" t="str"/>
      <x:c r="P195" s="3" t="str">
        <x:v>Confirmar</x:v>
      </x:c>
      <x:c r="Q195" s="4" t="str"/>
      <x:c r="R195" s="3" t="str"/>
    </x:row>
    <x:row r="196">
      <x:c r="A196" s="3" t="str"/>
      <x:c r="B196" s="3" t="str"/>
      <x:c r="C196" s="3" t="str"/>
      <x:c r="D196" s="3" t="str"/>
      <x:c r="E196" s="3" t="str"/>
      <x:c r="F196" s="3" t="str"/>
      <x:c r="G196" s="3" t="str"/>
      <x:c r="H196" s="3" t="str"/>
      <x:c r="I196" s="3" t="str"/>
      <x:c r="J196" s="3" t="str"/>
      <x:c r="K196" s="3" t="str">
        <x:v>Belo Horizonte</x:v>
      </x:c>
      <x:c r="L196" s="3" t="str">
        <x:v>MG</x:v>
      </x:c>
      <x:c r="M196" s="3" t="str"/>
      <x:c r="N196" s="3" t="str"/>
      <x:c r="O196" s="3" t="str"/>
      <x:c r="P196" s="3" t="str">
        <x:v>Confirmar</x:v>
      </x:c>
      <x:c r="Q196" s="4" t="str"/>
      <x:c r="R196" s="3" t="str"/>
    </x:row>
    <x:row r="197">
      <x:c r="A197" s="3" t="str"/>
      <x:c r="B197" s="3" t="str"/>
      <x:c r="C197" s="3" t="str"/>
      <x:c r="D197" s="3" t="str"/>
      <x:c r="E197" s="3" t="str"/>
      <x:c r="F197" s="3" t="str"/>
      <x:c r="G197" s="3" t="str"/>
      <x:c r="H197" s="3" t="str"/>
      <x:c r="I197" s="3" t="str"/>
      <x:c r="J197" s="3" t="str"/>
      <x:c r="K197" s="3" t="str">
        <x:v>Belo Horizonte</x:v>
      </x:c>
      <x:c r="L197" s="3" t="str">
        <x:v>MG</x:v>
      </x:c>
      <x:c r="M197" s="3" t="str"/>
      <x:c r="N197" s="3" t="str"/>
      <x:c r="O197" s="3" t="str"/>
      <x:c r="P197" s="3" t="str">
        <x:v>Confirmar</x:v>
      </x:c>
      <x:c r="Q197" s="4" t="str"/>
      <x:c r="R197" s="3" t="str"/>
    </x:row>
    <x:row r="198">
      <x:c r="A198" s="3" t="str"/>
      <x:c r="B198" s="3" t="str"/>
      <x:c r="C198" s="3" t="str"/>
      <x:c r="D198" s="3" t="str"/>
      <x:c r="E198" s="3" t="str"/>
      <x:c r="F198" s="3" t="str"/>
      <x:c r="G198" s="3" t="str"/>
      <x:c r="H198" s="3" t="str"/>
      <x:c r="I198" s="3" t="str"/>
      <x:c r="J198" s="3" t="str"/>
      <x:c r="K198" s="3" t="str">
        <x:v>Belo Horizonte</x:v>
      </x:c>
      <x:c r="L198" s="3" t="str">
        <x:v>MG</x:v>
      </x:c>
      <x:c r="M198" s="3" t="str"/>
      <x:c r="N198" s="3" t="str"/>
      <x:c r="O198" s="3" t="str"/>
      <x:c r="P198" s="3" t="str">
        <x:v>Confirmar</x:v>
      </x:c>
      <x:c r="Q198" s="4" t="str"/>
      <x:c r="R198" s="3" t="str"/>
    </x:row>
    <x:row r="199">
      <x:c r="A199" s="3" t="str"/>
      <x:c r="B199" s="3" t="str"/>
      <x:c r="C199" s="3" t="str"/>
      <x:c r="D199" s="3" t="str"/>
      <x:c r="E199" s="3" t="str"/>
      <x:c r="F199" s="3" t="str"/>
      <x:c r="G199" s="3" t="str"/>
      <x:c r="H199" s="3" t="str"/>
      <x:c r="I199" s="3" t="str"/>
      <x:c r="J199" s="3" t="str"/>
      <x:c r="K199" s="3" t="str">
        <x:v>Belo Horizonte</x:v>
      </x:c>
      <x:c r="L199" s="3" t="str">
        <x:v>MG</x:v>
      </x:c>
      <x:c r="M199" s="3" t="str"/>
      <x:c r="N199" s="3" t="str"/>
      <x:c r="O199" s="3" t="str"/>
      <x:c r="P199" s="3" t="str">
        <x:v>Confirmar</x:v>
      </x:c>
      <x:c r="Q199" s="4" t="str"/>
      <x:c r="R199" s="3" t="str"/>
    </x:row>
    <x:row r="200">
      <x:c r="A200" s="3" t="str"/>
      <x:c r="B200" s="3" t="str"/>
      <x:c r="C200" s="3" t="str"/>
      <x:c r="D200" s="3" t="str"/>
      <x:c r="E200" s="3" t="str"/>
      <x:c r="F200" s="3" t="str"/>
      <x:c r="G200" s="3" t="str"/>
      <x:c r="H200" s="3" t="str"/>
      <x:c r="I200" s="3" t="str"/>
      <x:c r="J200" s="3" t="str"/>
      <x:c r="K200" s="3" t="str">
        <x:v>Belo Horizonte</x:v>
      </x:c>
      <x:c r="L200" s="3" t="str">
        <x:v>MG</x:v>
      </x:c>
      <x:c r="M200" s="3" t="str"/>
      <x:c r="N200" s="3" t="str"/>
      <x:c r="O200" s="3" t="str"/>
      <x:c r="P200" s="3" t="str">
        <x:v>Confirmar</x:v>
      </x:c>
      <x:c r="Q200" s="4" t="str"/>
      <x:c r="R200" s="3" t="str"/>
    </x:row>
    <x:row r="201">
      <x:c r="A201" s="3" t="str"/>
      <x:c r="B201" s="3" t="str"/>
      <x:c r="C201" s="3" t="str"/>
      <x:c r="D201" s="3" t="str"/>
      <x:c r="E201" s="3" t="str"/>
      <x:c r="F201" s="3" t="str"/>
      <x:c r="G201" s="3" t="str"/>
      <x:c r="H201" s="3" t="str"/>
      <x:c r="I201" s="3" t="str"/>
      <x:c r="J201" s="3" t="str"/>
      <x:c r="K201" s="3" t="str">
        <x:v>Belo Horizonte</x:v>
      </x:c>
      <x:c r="L201" s="3" t="str">
        <x:v>MG</x:v>
      </x:c>
      <x:c r="M201" s="3" t="str"/>
      <x:c r="N201" s="3" t="str"/>
      <x:c r="O201" s="3" t="str"/>
      <x:c r="P201" s="3" t="str">
        <x:v>Confirmar</x:v>
      </x:c>
      <x:c r="Q201" s="4" t="str"/>
      <x:c r="R201" s="3" t="str"/>
    </x:row>
    <x:row r="202">
      <x:c r="A202" s="3" t="str"/>
      <x:c r="B202" s="3" t="str"/>
      <x:c r="C202" s="3" t="str"/>
      <x:c r="D202" s="3" t="str"/>
      <x:c r="E202" s="3" t="str"/>
      <x:c r="F202" s="3" t="str"/>
      <x:c r="G202" s="3" t="str"/>
      <x:c r="H202" s="3" t="str"/>
      <x:c r="I202" s="3" t="str"/>
      <x:c r="J202" s="3" t="str"/>
      <x:c r="K202" s="3" t="str">
        <x:v>Belo Horizonte</x:v>
      </x:c>
      <x:c r="L202" s="3" t="str">
        <x:v>MG</x:v>
      </x:c>
      <x:c r="M202" s="3" t="str"/>
      <x:c r="N202" s="3" t="str"/>
      <x:c r="O202" s="3" t="str"/>
      <x:c r="P202" s="3" t="str">
        <x:v>Confirmar</x:v>
      </x:c>
      <x:c r="Q202" s="4" t="str"/>
      <x:c r="R202" s="3" t="str"/>
    </x:row>
    <x:row r="203">
      <x:c r="A203" s="3" t="str"/>
      <x:c r="B203" s="3" t="str"/>
      <x:c r="C203" s="3" t="str"/>
      <x:c r="D203" s="3" t="str"/>
      <x:c r="E203" s="3" t="str"/>
      <x:c r="F203" s="3" t="str"/>
      <x:c r="G203" s="3" t="str"/>
      <x:c r="H203" s="3" t="str"/>
      <x:c r="I203" s="3" t="str"/>
      <x:c r="J203" s="3" t="str"/>
      <x:c r="K203" s="3" t="str">
        <x:v>Belo Horizonte</x:v>
      </x:c>
      <x:c r="L203" s="3" t="str">
        <x:v>MG</x:v>
      </x:c>
      <x:c r="M203" s="3" t="str"/>
      <x:c r="N203" s="3" t="str"/>
      <x:c r="O203" s="3" t="str"/>
      <x:c r="P203" s="3" t="str">
        <x:v>Confirmar</x:v>
      </x:c>
      <x:c r="Q203" s="4" t="str"/>
      <x:c r="R203" s="3" t="str"/>
    </x:row>
    <x:row r="204">
      <x:c r="A204" s="3" t="str"/>
      <x:c r="B204" s="3" t="str"/>
      <x:c r="C204" s="3" t="str"/>
      <x:c r="D204" s="3" t="str"/>
      <x:c r="E204" s="3" t="str"/>
      <x:c r="F204" s="3" t="str"/>
      <x:c r="G204" s="3" t="str"/>
      <x:c r="H204" s="3" t="str"/>
      <x:c r="I204" s="3" t="str"/>
      <x:c r="J204" s="3" t="str"/>
      <x:c r="K204" s="3" t="str">
        <x:v>Belo Horizonte</x:v>
      </x:c>
      <x:c r="L204" s="3" t="str">
        <x:v>MG</x:v>
      </x:c>
      <x:c r="M204" s="3" t="str"/>
      <x:c r="N204" s="3" t="str"/>
      <x:c r="O204" s="3" t="str"/>
      <x:c r="P204" s="3" t="str">
        <x:v>Confirmar</x:v>
      </x:c>
      <x:c r="Q204" s="4" t="str"/>
      <x:c r="R204" s="3" t="str"/>
    </x:row>
    <x:row r="205">
      <x:c r="A205" s="3" t="str"/>
      <x:c r="B205" s="3" t="str"/>
      <x:c r="C205" s="3" t="str"/>
      <x:c r="D205" s="3" t="str"/>
      <x:c r="E205" s="3" t="str"/>
      <x:c r="F205" s="3" t="str"/>
      <x:c r="G205" s="3" t="str"/>
      <x:c r="H205" s="3" t="str"/>
      <x:c r="I205" s="3" t="str"/>
      <x:c r="J205" s="3" t="str"/>
      <x:c r="K205" s="3" t="str">
        <x:v>Belo Horizonte</x:v>
      </x:c>
      <x:c r="L205" s="3" t="str">
        <x:v>MG</x:v>
      </x:c>
      <x:c r="M205" s="3" t="str"/>
      <x:c r="N205" s="3" t="str"/>
      <x:c r="O205" s="3" t="str"/>
      <x:c r="P205" s="3" t="str">
        <x:v>Confirmar</x:v>
      </x:c>
      <x:c r="Q205" s="4" t="str"/>
      <x:c r="R205" s="3" t="str"/>
    </x:row>
  </x:sheetData>
  <x:mergeCells>
    <x:mergeCell ref="A1:R1"/>
  </x:mergeCells>
  <x:dataValidations count="1">
    <x:dataValidation type="list" sqref="P4:P205">
      <x:formula1>"Confirmar,Nao,Sim"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25411e8c7b4d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460000038146973" hidden="0" customWidth="1"/>
    <x:col min="2" max="2" width="10.09000015258789" hidden="0" customWidth="1"/>
    <x:col min="3" max="3" width="31.6299991607666" hidden="0" customWidth="1"/>
    <x:col min="4" max="4" width="18.84000015258789" hidden="0" customWidth="1"/>
    <x:col min="5" max="5" width="10.770000457763672" hidden="0" customWidth="1"/>
    <x:col min="6" max="6" width="13.460000038146973" hidden="0" customWidth="1"/>
    <x:col min="7" max="7" width="13.460000038146973" hidden="0" customWidth="1"/>
    <x:col min="8" max="8" width="28.940000534057617" hidden="0" customWidth="1"/>
    <x:col min="9" max="9" width="69.30999755859375" hidden="0" customWidth="1"/>
    <x:col min="10" max="10" width="13.460000038146973" hidden="0" customWidth="1"/>
    <x:col min="11" max="11" width="11.4399995803833" hidden="0" customWidth="1"/>
    <x:col min="12" max="12" width="14.800000190734863" hidden="0" customWidth="1"/>
    <x:col min="13" max="13" width="11.4399995803833" hidden="0" customWidth="1"/>
    <x:col min="14" max="14" width="26.239999771118164" hidden="0" customWidth="1"/>
    <x:col min="15" max="15" width="34.31999969482422" hidden="0" customWidth="1"/>
  </x:cols>
  <x:sheetData>
    <x:row r="1">
      <x:c r="A1" s="1" t="str">
        <x:v>Lancamentos para NFS-e</x:v>
      </x:c>
      <x:c r="B1" s="1" t="str">
        <x:v>Lancamentos para NFS-e</x:v>
      </x:c>
      <x:c r="C1" s="1" t="str">
        <x:v>Lancamentos para NFS-e</x:v>
      </x:c>
      <x:c r="D1" s="1" t="str">
        <x:v>Lancamentos para NFS-e</x:v>
      </x:c>
      <x:c r="E1" s="1" t="str">
        <x:v>Lancamentos para NFS-e</x:v>
      </x:c>
      <x:c r="F1" s="1" t="str">
        <x:v>Lancamentos para NFS-e</x:v>
      </x:c>
      <x:c r="G1" s="1" t="str">
        <x:v>Lancamentos para NFS-e</x:v>
      </x:c>
      <x:c r="H1" s="1" t="str">
        <x:v>Lancamentos para NFS-e</x:v>
      </x:c>
      <x:c r="I1" s="1" t="str">
        <x:v>Lancamentos para NFS-e</x:v>
      </x:c>
      <x:c r="J1" s="1" t="str">
        <x:v>Lancamentos para NFS-e</x:v>
      </x:c>
      <x:c r="K1" s="1" t="str">
        <x:v>Lancamentos para NFS-e</x:v>
      </x:c>
      <x:c r="L1" s="1" t="str">
        <x:v>Lancamentos para NFS-e</x:v>
      </x:c>
      <x:c r="M1" s="1" t="str">
        <x:v>Lancamentos para NFS-e</x:v>
      </x:c>
      <x:c r="N1" s="1" t="str">
        <x:v>Lancamentos para NFS-e</x:v>
      </x:c>
      <x:c r="O1" s="1" t="str">
        <x:v>Lancamentos para NFS-e</x:v>
      </x:c>
    </x:row>
    <x:row r="3">
      <x:c r="A3" s="2" t="str">
        <x:v>Data Pix/Servico</x:v>
      </x:c>
      <x:c r="B3" s="2" t="str">
        <x:v>Clinica ID</x:v>
      </x:c>
      <x:c r="C3" s="2" t="str">
        <x:v>Clinica</x:v>
      </x:c>
      <x:c r="D3" s="2" t="str">
        <x:v>CNPJ</x:v>
      </x:c>
      <x:c r="E3" s="2" t="str">
        <x:v>Qtd exames</x:v>
      </x:c>
      <x:c r="F3" s="2" t="str">
        <x:v>Valor total</x:v>
      </x:c>
      <x:c r="G3" s="2" t="str">
        <x:v>Valor unit.</x:v>
      </x:c>
      <x:c r="H3" s="2" t="str">
        <x:v>Descricao base</x:v>
      </x:c>
      <x:c r="I3" s="2" t="str">
        <x:v>Descricao sugerida NFS-e</x:v>
      </x:c>
      <x:c r="J3" s="2" t="str">
        <x:v>Competencia</x:v>
      </x:c>
      <x:c r="K3" s="2" t="str">
        <x:v>Status nota</x:v>
      </x:c>
      <x:c r="L3" s="2" t="str">
        <x:v>Numero NFS-e</x:v>
      </x:c>
      <x:c r="M3" s="2" t="str">
        <x:v>ISS retido?</x:v>
      </x:c>
      <x:c r="N3" s="2" t="str">
        <x:v>E-mail nota</x:v>
      </x:c>
      <x:c r="O3" s="2" t="str">
        <x:v>Observacoes</x:v>
      </x:c>
    </x:row>
    <x:row r="4">
      <x:c r="A4" s="5" t="n">
        <x:v>46147</x:v>
      </x:c>
      <x:c r="B4" s="3" t="str">
        <x:v>CL001</x:v>
      </x:c>
      <x:c r="C4" s="3" t="str">
        <x:f>IF($B4="","",IFERROR(VLOOKUP($B4,Clinicas!$A$4:$R$205,2,FALSE),"ID nao cadastrado"))</x:f>
        <x:v>ANNATACHI BOTELHO JARDIM</x:v>
      </x:c>
      <x:c r="D4" s="3" t="str">
        <x:f>IF($B4="","",IFERROR(VLOOKUP($B4,Clinicas!$A$4:$R$205,4,FALSE),""))</x:f>
        <x:v>32.059.204/0001-94</x:v>
      </x:c>
      <x:c r="E4" s="3" t="n">
        <x:v>1</x:v>
      </x:c>
      <x:c r="F4" s="6" t="n">
        <x:v>170</x:v>
      </x:c>
      <x:c r="G4" s="6" t="n">
        <x:f>IF(OR($E4="",$F4=""),"",$F4/$E4)</x:f>
        <x:v>170</x:v>
      </x:c>
      <x:c r="H4" s="3" t="str">
        <x:v>Exames de ultrassonografia veterinaria</x:v>
      </x:c>
      <x:c r="I4" s="3" t="str">
        <x:f>IF($A4="","",$H4&amp;" - "&amp;$E4&amp;" exame(s) realizado(s) em "&amp;TEXT($A4,"dd/mm/yyyy")&amp;". Valor referente ao Pix recebido em "&amp;TEXT($A4,"dd/mm/yyyy")&amp;".")</x:f>
        <x:v>Exames de ultrassonografia veterinaria - 1 exame(s) realizado(s) em 05/05/2026. Valor referente ao Pix recebido em 05/05/2026.</x:v>
      </x:c>
      <x:c r="J4" s="5" t="n">
        <x:f>IF($A4="","",$A4)</x:f>
        <x:v>46147</x:v>
      </x:c>
      <x:c r="K4" s="3" t="str">
        <x:v>Pendente</x:v>
      </x:c>
      <x:c r="L4" s="3"/>
      <x:c r="M4" s="3" t="str">
        <x:f>IF($B4="","",IFERROR(VLOOKUP($B4,Clinicas!$A$4:$R$205,16,FALSE),"Confirmar"))</x:f>
        <x:v>Confirmar</x:v>
      </x:c>
      <x:c r="N4" s="3" t="str">
        <x:f>IF($B4="","",IFERROR(VLOOKUP($B4,Clinicas!$A$4:$R$205,13,FALSE),""))</x:f>
      </x:c>
      <x:c r="O4" s="3" t="str">
        <x:v>Pix Itau controle 000233086445531. Completar dados do tomador antes de emitir.</x:v>
      </x:c>
    </x:row>
    <x:row r="5">
      <x:c r="A5" s="5"/>
      <x:c r="B5" s="3" t="str"/>
      <x:c r="C5" s="3" t="str">
        <x:f>IF($B5="","",IFERROR(VLOOKUP($B5,Clinicas!$A$4:$R$205,2,FALSE),"ID nao cadastrado"))</x:f>
      </x:c>
      <x:c r="D5" s="3" t="str">
        <x:f>IF($B5="","",IFERROR(VLOOKUP($B5,Clinicas!$A$4:$R$205,4,FALSE),""))</x:f>
      </x:c>
      <x:c r="E5" s="3" t="str"/>
      <x:c r="F5" s="6" t="str"/>
      <x:c r="G5" s="6" t="str">
        <x:f>IF(OR($E5="",$F5=""),"",$F5/$E5)</x:f>
      </x:c>
      <x:c r="H5" s="3" t="str">
        <x:v>Exames de ultrassonografia veterinaria</x:v>
      </x:c>
      <x:c r="I5" s="3" t="str">
        <x:f>IF($A5="","",$H5&amp;" - "&amp;$E5&amp;" exame(s) realizado(s) em "&amp;TEXT($A5,"dd/mm/yyyy")&amp;". Valor referente ao Pix recebido em "&amp;TEXT($A5,"dd/mm/yyyy")&amp;".")</x:f>
      </x:c>
      <x:c r="J5" s="5" t="str">
        <x:f>IF($A5="","",$A5)</x:f>
      </x:c>
      <x:c r="K5" s="3" t="str"/>
      <x:c r="L5" s="3"/>
      <x:c r="M5" s="3" t="str">
        <x:f>IF($B5="","",IFERROR(VLOOKUP($B5,Clinicas!$A$4:$R$205,16,FALSE),"Confirmar"))</x:f>
      </x:c>
      <x:c r="N5" s="3" t="str">
        <x:f>IF($B5="","",IFERROR(VLOOKUP($B5,Clinicas!$A$4:$R$205,13,FALSE),""))</x:f>
      </x:c>
      <x:c r="O5" s="3"/>
    </x:row>
    <x:row r="6">
      <x:c r="A6" s="5"/>
      <x:c r="B6" s="3" t="str"/>
      <x:c r="C6" s="3" t="str">
        <x:f>IF($B6="","",IFERROR(VLOOKUP($B6,Clinicas!$A$4:$R$205,2,FALSE),"ID nao cadastrado"))</x:f>
      </x:c>
      <x:c r="D6" s="3" t="str">
        <x:f>IF($B6="","",IFERROR(VLOOKUP($B6,Clinicas!$A$4:$R$205,4,FALSE),""))</x:f>
      </x:c>
      <x:c r="E6" s="3" t="str"/>
      <x:c r="F6" s="6" t="str"/>
      <x:c r="G6" s="6" t="str">
        <x:f>IF(OR($E6="",$F6=""),"",$F6/$E6)</x:f>
      </x:c>
      <x:c r="H6" s="3" t="str">
        <x:v>Exames de ultrassonografia veterinaria</x:v>
      </x:c>
      <x:c r="I6" s="3" t="str">
        <x:f>IF($A6="","",$H6&amp;" - "&amp;$E6&amp;" exame(s) realizado(s) em "&amp;TEXT($A6,"dd/mm/yyyy")&amp;". Valor referente ao Pix recebido em "&amp;TEXT($A6,"dd/mm/yyyy")&amp;".")</x:f>
      </x:c>
      <x:c r="J6" s="5" t="str">
        <x:f>IF($A6="","",$A6)</x:f>
      </x:c>
      <x:c r="K6" s="3" t="str"/>
      <x:c r="L6" s="3"/>
      <x:c r="M6" s="3" t="str">
        <x:f>IF($B6="","",IFERROR(VLOOKUP($B6,Clinicas!$A$4:$R$205,16,FALSE),"Confirmar"))</x:f>
      </x:c>
      <x:c r="N6" s="3" t="str">
        <x:f>IF($B6="","",IFERROR(VLOOKUP($B6,Clinicas!$A$4:$R$205,13,FALSE),""))</x:f>
      </x:c>
      <x:c r="O6" s="3"/>
    </x:row>
    <x:row r="7">
      <x:c r="A7" s="5"/>
      <x:c r="B7" s="3" t="str"/>
      <x:c r="C7" s="3" t="str">
        <x:f>IF($B7="","",IFERROR(VLOOKUP($B7,Clinicas!$A$4:$R$205,2,FALSE),"ID nao cadastrado"))</x:f>
      </x:c>
      <x:c r="D7" s="3" t="str">
        <x:f>IF($B7="","",IFERROR(VLOOKUP($B7,Clinicas!$A$4:$R$205,4,FALSE),""))</x:f>
      </x:c>
      <x:c r="E7" s="3" t="str"/>
      <x:c r="F7" s="6" t="str"/>
      <x:c r="G7" s="6" t="str">
        <x:f>IF(OR($E7="",$F7=""),"",$F7/$E7)</x:f>
      </x:c>
      <x:c r="H7" s="3" t="str">
        <x:v>Exames de ultrassonografia veterinaria</x:v>
      </x:c>
      <x:c r="I7" s="3" t="str">
        <x:f>IF($A7="","",$H7&amp;" - "&amp;$E7&amp;" exame(s) realizado(s) em "&amp;TEXT($A7,"dd/mm/yyyy")&amp;". Valor referente ao Pix recebido em "&amp;TEXT($A7,"dd/mm/yyyy")&amp;".")</x:f>
      </x:c>
      <x:c r="J7" s="5" t="str">
        <x:f>IF($A7="","",$A7)</x:f>
      </x:c>
      <x:c r="K7" s="3" t="str"/>
      <x:c r="L7" s="3"/>
      <x:c r="M7" s="3" t="str">
        <x:f>IF($B7="","",IFERROR(VLOOKUP($B7,Clinicas!$A$4:$R$205,16,FALSE),"Confirmar"))</x:f>
      </x:c>
      <x:c r="N7" s="3" t="str">
        <x:f>IF($B7="","",IFERROR(VLOOKUP($B7,Clinicas!$A$4:$R$205,13,FALSE),""))</x:f>
      </x:c>
      <x:c r="O7" s="3"/>
    </x:row>
    <x:row r="8">
      <x:c r="A8" s="5"/>
      <x:c r="B8" s="3" t="str"/>
      <x:c r="C8" s="3" t="str">
        <x:f>IF($B8="","",IFERROR(VLOOKUP($B8,Clinicas!$A$4:$R$205,2,FALSE),"ID nao cadastrado"))</x:f>
      </x:c>
      <x:c r="D8" s="3" t="str">
        <x:f>IF($B8="","",IFERROR(VLOOKUP($B8,Clinicas!$A$4:$R$205,4,FALSE),""))</x:f>
      </x:c>
      <x:c r="E8" s="3" t="str"/>
      <x:c r="F8" s="6" t="str"/>
      <x:c r="G8" s="6" t="str">
        <x:f>IF(OR($E8="",$F8=""),"",$F8/$E8)</x:f>
      </x:c>
      <x:c r="H8" s="3" t="str">
        <x:v>Exames de ultrassonografia veterinaria</x:v>
      </x:c>
      <x:c r="I8" s="3" t="str">
        <x:f>IF($A8="","",$H8&amp;" - "&amp;$E8&amp;" exame(s) realizado(s) em "&amp;TEXT($A8,"dd/mm/yyyy")&amp;". Valor referente ao Pix recebido em "&amp;TEXT($A8,"dd/mm/yyyy")&amp;".")</x:f>
      </x:c>
      <x:c r="J8" s="5" t="str">
        <x:f>IF($A8="","",$A8)</x:f>
      </x:c>
      <x:c r="K8" s="3" t="str"/>
      <x:c r="L8" s="3"/>
      <x:c r="M8" s="3" t="str">
        <x:f>IF($B8="","",IFERROR(VLOOKUP($B8,Clinicas!$A$4:$R$205,16,FALSE),"Confirmar"))</x:f>
      </x:c>
      <x:c r="N8" s="3" t="str">
        <x:f>IF($B8="","",IFERROR(VLOOKUP($B8,Clinicas!$A$4:$R$205,13,FALSE),""))</x:f>
      </x:c>
      <x:c r="O8" s="3"/>
    </x:row>
    <x:row r="9">
      <x:c r="A9" s="5"/>
      <x:c r="B9" s="3" t="str"/>
      <x:c r="C9" s="3" t="str">
        <x:f>IF($B9="","",IFERROR(VLOOKUP($B9,Clinicas!$A$4:$R$205,2,FALSE),"ID nao cadastrado"))</x:f>
      </x:c>
      <x:c r="D9" s="3" t="str">
        <x:f>IF($B9="","",IFERROR(VLOOKUP($B9,Clinicas!$A$4:$R$205,4,FALSE),""))</x:f>
      </x:c>
      <x:c r="E9" s="3" t="str"/>
      <x:c r="F9" s="6" t="str"/>
      <x:c r="G9" s="6" t="str">
        <x:f>IF(OR($E9="",$F9=""),"",$F9/$E9)</x:f>
      </x:c>
      <x:c r="H9" s="3" t="str">
        <x:v>Exames de ultrassonografia veterinaria</x:v>
      </x:c>
      <x:c r="I9" s="3" t="str">
        <x:f>IF($A9="","",$H9&amp;" - "&amp;$E9&amp;" exame(s) realizado(s) em "&amp;TEXT($A9,"dd/mm/yyyy")&amp;". Valor referente ao Pix recebido em "&amp;TEXT($A9,"dd/mm/yyyy")&amp;".")</x:f>
      </x:c>
      <x:c r="J9" s="5" t="str">
        <x:f>IF($A9="","",$A9)</x:f>
      </x:c>
      <x:c r="K9" s="3" t="str"/>
      <x:c r="L9" s="3"/>
      <x:c r="M9" s="3" t="str">
        <x:f>IF($B9="","",IFERROR(VLOOKUP($B9,Clinicas!$A$4:$R$205,16,FALSE),"Confirmar"))</x:f>
      </x:c>
      <x:c r="N9" s="3" t="str">
        <x:f>IF($B9="","",IFERROR(VLOOKUP($B9,Clinicas!$A$4:$R$205,13,FALSE),""))</x:f>
      </x:c>
      <x:c r="O9" s="3"/>
    </x:row>
    <x:row r="10">
      <x:c r="A10" s="5"/>
      <x:c r="B10" s="3" t="str"/>
      <x:c r="C10" s="3" t="str">
        <x:f>IF($B10="","",IFERROR(VLOOKUP($B10,Clinicas!$A$4:$R$205,2,FALSE),"ID nao cadastrado"))</x:f>
      </x:c>
      <x:c r="D10" s="3" t="str">
        <x:f>IF($B10="","",IFERROR(VLOOKUP($B10,Clinicas!$A$4:$R$205,4,FALSE),""))</x:f>
      </x:c>
      <x:c r="E10" s="3" t="str"/>
      <x:c r="F10" s="6" t="str"/>
      <x:c r="G10" s="6" t="str">
        <x:f>IF(OR($E10="",$F10=""),"",$F10/$E10)</x:f>
      </x:c>
      <x:c r="H10" s="3" t="str">
        <x:v>Exames de ultrassonografia veterinaria</x:v>
      </x:c>
      <x:c r="I10" s="3" t="str">
        <x:f>IF($A10="","",$H10&amp;" - "&amp;$E10&amp;" exame(s) realizado(s) em "&amp;TEXT($A10,"dd/mm/yyyy")&amp;". Valor referente ao Pix recebido em "&amp;TEXT($A10,"dd/mm/yyyy")&amp;".")</x:f>
      </x:c>
      <x:c r="J10" s="5" t="str">
        <x:f>IF($A10="","",$A10)</x:f>
      </x:c>
      <x:c r="K10" s="3" t="str"/>
      <x:c r="L10" s="3"/>
      <x:c r="M10" s="3" t="str">
        <x:f>IF($B10="","",IFERROR(VLOOKUP($B10,Clinicas!$A$4:$R$205,16,FALSE),"Confirmar"))</x:f>
      </x:c>
      <x:c r="N10" s="3" t="str">
        <x:f>IF($B10="","",IFERROR(VLOOKUP($B10,Clinicas!$A$4:$R$205,13,FALSE),""))</x:f>
      </x:c>
      <x:c r="O10" s="3"/>
    </x:row>
    <x:row r="11">
      <x:c r="A11" s="5"/>
      <x:c r="B11" s="3" t="str"/>
      <x:c r="C11" s="3" t="str">
        <x:f>IF($B11="","",IFERROR(VLOOKUP($B11,Clinicas!$A$4:$R$205,2,FALSE),"ID nao cadastrado"))</x:f>
      </x:c>
      <x:c r="D11" s="3" t="str">
        <x:f>IF($B11="","",IFERROR(VLOOKUP($B11,Clinicas!$A$4:$R$205,4,FALSE),""))</x:f>
      </x:c>
      <x:c r="E11" s="3" t="str"/>
      <x:c r="F11" s="6" t="str"/>
      <x:c r="G11" s="6" t="str">
        <x:f>IF(OR($E11="",$F11=""),"",$F11/$E11)</x:f>
      </x:c>
      <x:c r="H11" s="3" t="str">
        <x:v>Exames de ultrassonografia veterinaria</x:v>
      </x:c>
      <x:c r="I11" s="3" t="str">
        <x:f>IF($A11="","",$H11&amp;" - "&amp;$E11&amp;" exame(s) realizado(s) em "&amp;TEXT($A11,"dd/mm/yyyy")&amp;". Valor referente ao Pix recebido em "&amp;TEXT($A11,"dd/mm/yyyy")&amp;".")</x:f>
      </x:c>
      <x:c r="J11" s="5" t="str">
        <x:f>IF($A11="","",$A11)</x:f>
      </x:c>
      <x:c r="K11" s="3" t="str"/>
      <x:c r="L11" s="3"/>
      <x:c r="M11" s="3" t="str">
        <x:f>IF($B11="","",IFERROR(VLOOKUP($B11,Clinicas!$A$4:$R$205,16,FALSE),"Confirmar"))</x:f>
      </x:c>
      <x:c r="N11" s="3" t="str">
        <x:f>IF($B11="","",IFERROR(VLOOKUP($B11,Clinicas!$A$4:$R$205,13,FALSE),""))</x:f>
      </x:c>
      <x:c r="O11" s="3"/>
    </x:row>
    <x:row r="12">
      <x:c r="A12" s="5"/>
      <x:c r="B12" s="3" t="str"/>
      <x:c r="C12" s="3" t="str">
        <x:f>IF($B12="","",IFERROR(VLOOKUP($B12,Clinicas!$A$4:$R$205,2,FALSE),"ID nao cadastrado"))</x:f>
      </x:c>
      <x:c r="D12" s="3" t="str">
        <x:f>IF($B12="","",IFERROR(VLOOKUP($B12,Clinicas!$A$4:$R$205,4,FALSE),""))</x:f>
      </x:c>
      <x:c r="E12" s="3" t="str"/>
      <x:c r="F12" s="6" t="str"/>
      <x:c r="G12" s="6" t="str">
        <x:f>IF(OR($E12="",$F12=""),"",$F12/$E12)</x:f>
      </x:c>
      <x:c r="H12" s="3" t="str">
        <x:v>Exames de ultrassonografia veterinaria</x:v>
      </x:c>
      <x:c r="I12" s="3" t="str">
        <x:f>IF($A12="","",$H12&amp;" - "&amp;$E12&amp;" exame(s) realizado(s) em "&amp;TEXT($A12,"dd/mm/yyyy")&amp;". Valor referente ao Pix recebido em "&amp;TEXT($A12,"dd/mm/yyyy")&amp;".")</x:f>
      </x:c>
      <x:c r="J12" s="5" t="str">
        <x:f>IF($A12="","",$A12)</x:f>
      </x:c>
      <x:c r="K12" s="3" t="str"/>
      <x:c r="L12" s="3"/>
      <x:c r="M12" s="3" t="str">
        <x:f>IF($B12="","",IFERROR(VLOOKUP($B12,Clinicas!$A$4:$R$205,16,FALSE),"Confirmar"))</x:f>
      </x:c>
      <x:c r="N12" s="3" t="str">
        <x:f>IF($B12="","",IFERROR(VLOOKUP($B12,Clinicas!$A$4:$R$205,13,FALSE),""))</x:f>
      </x:c>
      <x:c r="O12" s="3"/>
    </x:row>
    <x:row r="13">
      <x:c r="A13" s="5"/>
      <x:c r="B13" s="3" t="str"/>
      <x:c r="C13" s="3" t="str">
        <x:f>IF($B13="","",IFERROR(VLOOKUP($B13,Clinicas!$A$4:$R$205,2,FALSE),"ID nao cadastrado"))</x:f>
      </x:c>
      <x:c r="D13" s="3" t="str">
        <x:f>IF($B13="","",IFERROR(VLOOKUP($B13,Clinicas!$A$4:$R$205,4,FALSE),""))</x:f>
      </x:c>
      <x:c r="E13" s="3" t="str"/>
      <x:c r="F13" s="6" t="str"/>
      <x:c r="G13" s="6" t="str">
        <x:f>IF(OR($E13="",$F13=""),"",$F13/$E13)</x:f>
      </x:c>
      <x:c r="H13" s="3" t="str">
        <x:v>Exames de ultrassonografia veterinaria</x:v>
      </x:c>
      <x:c r="I13" s="3" t="str">
        <x:f>IF($A13="","",$H13&amp;" - "&amp;$E13&amp;" exame(s) realizado(s) em "&amp;TEXT($A13,"dd/mm/yyyy")&amp;". Valor referente ao Pix recebido em "&amp;TEXT($A13,"dd/mm/yyyy")&amp;".")</x:f>
      </x:c>
      <x:c r="J13" s="5" t="str">
        <x:f>IF($A13="","",$A13)</x:f>
      </x:c>
      <x:c r="K13" s="3" t="str"/>
      <x:c r="L13" s="3"/>
      <x:c r="M13" s="3" t="str">
        <x:f>IF($B13="","",IFERROR(VLOOKUP($B13,Clinicas!$A$4:$R$205,16,FALSE),"Confirmar"))</x:f>
      </x:c>
      <x:c r="N13" s="3" t="str">
        <x:f>IF($B13="","",IFERROR(VLOOKUP($B13,Clinicas!$A$4:$R$205,13,FALSE),""))</x:f>
      </x:c>
      <x:c r="O13" s="3"/>
    </x:row>
    <x:row r="14">
      <x:c r="A14" s="5"/>
      <x:c r="B14" s="3" t="str"/>
      <x:c r="C14" s="3" t="str">
        <x:f>IF($B14="","",IFERROR(VLOOKUP($B14,Clinicas!$A$4:$R$205,2,FALSE),"ID nao cadastrado"))</x:f>
      </x:c>
      <x:c r="D14" s="3" t="str">
        <x:f>IF($B14="","",IFERROR(VLOOKUP($B14,Clinicas!$A$4:$R$205,4,FALSE),""))</x:f>
      </x:c>
      <x:c r="E14" s="3" t="str"/>
      <x:c r="F14" s="6" t="str"/>
      <x:c r="G14" s="6" t="str">
        <x:f>IF(OR($E14="",$F14=""),"",$F14/$E14)</x:f>
      </x:c>
      <x:c r="H14" s="3" t="str">
        <x:v>Exames de ultrassonografia veterinaria</x:v>
      </x:c>
      <x:c r="I14" s="3" t="str">
        <x:f>IF($A14="","",$H14&amp;" - "&amp;$E14&amp;" exame(s) realizado(s) em "&amp;TEXT($A14,"dd/mm/yyyy")&amp;". Valor referente ao Pix recebido em "&amp;TEXT($A14,"dd/mm/yyyy")&amp;".")</x:f>
      </x:c>
      <x:c r="J14" s="5" t="str">
        <x:f>IF($A14="","",$A14)</x:f>
      </x:c>
      <x:c r="K14" s="3" t="str"/>
      <x:c r="L14" s="3"/>
      <x:c r="M14" s="3" t="str">
        <x:f>IF($B14="","",IFERROR(VLOOKUP($B14,Clinicas!$A$4:$R$205,16,FALSE),"Confirmar"))</x:f>
      </x:c>
      <x:c r="N14" s="3" t="str">
        <x:f>IF($B14="","",IFERROR(VLOOKUP($B14,Clinicas!$A$4:$R$205,13,FALSE),""))</x:f>
      </x:c>
      <x:c r="O14" s="3"/>
    </x:row>
    <x:row r="15">
      <x:c r="A15" s="5"/>
      <x:c r="B15" s="3" t="str"/>
      <x:c r="C15" s="3" t="str">
        <x:f>IF($B15="","",IFERROR(VLOOKUP($B15,Clinicas!$A$4:$R$205,2,FALSE),"ID nao cadastrado"))</x:f>
      </x:c>
      <x:c r="D15" s="3" t="str">
        <x:f>IF($B15="","",IFERROR(VLOOKUP($B15,Clinicas!$A$4:$R$205,4,FALSE),""))</x:f>
      </x:c>
      <x:c r="E15" s="3" t="str"/>
      <x:c r="F15" s="6" t="str"/>
      <x:c r="G15" s="6" t="str">
        <x:f>IF(OR($E15="",$F15=""),"",$F15/$E15)</x:f>
      </x:c>
      <x:c r="H15" s="3" t="str">
        <x:v>Exames de ultrassonografia veterinaria</x:v>
      </x:c>
      <x:c r="I15" s="3" t="str">
        <x:f>IF($A15="","",$H15&amp;" - "&amp;$E15&amp;" exame(s) realizado(s) em "&amp;TEXT($A15,"dd/mm/yyyy")&amp;". Valor referente ao Pix recebido em "&amp;TEXT($A15,"dd/mm/yyyy")&amp;".")</x:f>
      </x:c>
      <x:c r="J15" s="5" t="str">
        <x:f>IF($A15="","",$A15)</x:f>
      </x:c>
      <x:c r="K15" s="3" t="str"/>
      <x:c r="L15" s="3"/>
      <x:c r="M15" s="3" t="str">
        <x:f>IF($B15="","",IFERROR(VLOOKUP($B15,Clinicas!$A$4:$R$205,16,FALSE),"Confirmar"))</x:f>
      </x:c>
      <x:c r="N15" s="3" t="str">
        <x:f>IF($B15="","",IFERROR(VLOOKUP($B15,Clinicas!$A$4:$R$205,13,FALSE),""))</x:f>
      </x:c>
      <x:c r="O15" s="3"/>
    </x:row>
    <x:row r="16">
      <x:c r="A16" s="5"/>
      <x:c r="B16" s="3" t="str"/>
      <x:c r="C16" s="3" t="str">
        <x:f>IF($B16="","",IFERROR(VLOOKUP($B16,Clinicas!$A$4:$R$205,2,FALSE),"ID nao cadastrado"))</x:f>
      </x:c>
      <x:c r="D16" s="3" t="str">
        <x:f>IF($B16="","",IFERROR(VLOOKUP($B16,Clinicas!$A$4:$R$205,4,FALSE),""))</x:f>
      </x:c>
      <x:c r="E16" s="3" t="str"/>
      <x:c r="F16" s="6" t="str"/>
      <x:c r="G16" s="6" t="str">
        <x:f>IF(OR($E16="",$F16=""),"",$F16/$E16)</x:f>
      </x:c>
      <x:c r="H16" s="3" t="str">
        <x:v>Exames de ultrassonografia veterinaria</x:v>
      </x:c>
      <x:c r="I16" s="3" t="str">
        <x:f>IF($A16="","",$H16&amp;" - "&amp;$E16&amp;" exame(s) realizado(s) em "&amp;TEXT($A16,"dd/mm/yyyy")&amp;". Valor referente ao Pix recebido em "&amp;TEXT($A16,"dd/mm/yyyy")&amp;".")</x:f>
      </x:c>
      <x:c r="J16" s="5" t="str">
        <x:f>IF($A16="","",$A16)</x:f>
      </x:c>
      <x:c r="K16" s="3" t="str"/>
      <x:c r="L16" s="3"/>
      <x:c r="M16" s="3" t="str">
        <x:f>IF($B16="","",IFERROR(VLOOKUP($B16,Clinicas!$A$4:$R$205,16,FALSE),"Confirmar"))</x:f>
      </x:c>
      <x:c r="N16" s="3" t="str">
        <x:f>IF($B16="","",IFERROR(VLOOKUP($B16,Clinicas!$A$4:$R$205,13,FALSE),""))</x:f>
      </x:c>
      <x:c r="O16" s="3"/>
    </x:row>
    <x:row r="17">
      <x:c r="A17" s="5"/>
      <x:c r="B17" s="3" t="str"/>
      <x:c r="C17" s="3" t="str">
        <x:f>IF($B17="","",IFERROR(VLOOKUP($B17,Clinicas!$A$4:$R$205,2,FALSE),"ID nao cadastrado"))</x:f>
      </x:c>
      <x:c r="D17" s="3" t="str">
        <x:f>IF($B17="","",IFERROR(VLOOKUP($B17,Clinicas!$A$4:$R$205,4,FALSE),""))</x:f>
      </x:c>
      <x:c r="E17" s="3" t="str"/>
      <x:c r="F17" s="6" t="str"/>
      <x:c r="G17" s="6" t="str">
        <x:f>IF(OR($E17="",$F17=""),"",$F17/$E17)</x:f>
      </x:c>
      <x:c r="H17" s="3" t="str">
        <x:v>Exames de ultrassonografia veterinaria</x:v>
      </x:c>
      <x:c r="I17" s="3" t="str">
        <x:f>IF($A17="","",$H17&amp;" - "&amp;$E17&amp;" exame(s) realizado(s) em "&amp;TEXT($A17,"dd/mm/yyyy")&amp;". Valor referente ao Pix recebido em "&amp;TEXT($A17,"dd/mm/yyyy")&amp;".")</x:f>
      </x:c>
      <x:c r="J17" s="5" t="str">
        <x:f>IF($A17="","",$A17)</x:f>
      </x:c>
      <x:c r="K17" s="3" t="str"/>
      <x:c r="L17" s="3"/>
      <x:c r="M17" s="3" t="str">
        <x:f>IF($B17="","",IFERROR(VLOOKUP($B17,Clinicas!$A$4:$R$205,16,FALSE),"Confirmar"))</x:f>
      </x:c>
      <x:c r="N17" s="3" t="str">
        <x:f>IF($B17="","",IFERROR(VLOOKUP($B17,Clinicas!$A$4:$R$205,13,FALSE),""))</x:f>
      </x:c>
      <x:c r="O17" s="3"/>
    </x:row>
    <x:row r="18">
      <x:c r="A18" s="5"/>
      <x:c r="B18" s="3" t="str"/>
      <x:c r="C18" s="3" t="str">
        <x:f>IF($B18="","",IFERROR(VLOOKUP($B18,Clinicas!$A$4:$R$205,2,FALSE),"ID nao cadastrado"))</x:f>
      </x:c>
      <x:c r="D18" s="3" t="str">
        <x:f>IF($B18="","",IFERROR(VLOOKUP($B18,Clinicas!$A$4:$R$205,4,FALSE),""))</x:f>
      </x:c>
      <x:c r="E18" s="3" t="str"/>
      <x:c r="F18" s="6" t="str"/>
      <x:c r="G18" s="6" t="str">
        <x:f>IF(OR($E18="",$F18=""),"",$F18/$E18)</x:f>
      </x:c>
      <x:c r="H18" s="3" t="str">
        <x:v>Exames de ultrassonografia veterinaria</x:v>
      </x:c>
      <x:c r="I18" s="3" t="str">
        <x:f>IF($A18="","",$H18&amp;" - "&amp;$E18&amp;" exame(s) realizado(s) em "&amp;TEXT($A18,"dd/mm/yyyy")&amp;". Valor referente ao Pix recebido em "&amp;TEXT($A18,"dd/mm/yyyy")&amp;".")</x:f>
      </x:c>
      <x:c r="J18" s="5" t="str">
        <x:f>IF($A18="","",$A18)</x:f>
      </x:c>
      <x:c r="K18" s="3" t="str"/>
      <x:c r="L18" s="3"/>
      <x:c r="M18" s="3" t="str">
        <x:f>IF($B18="","",IFERROR(VLOOKUP($B18,Clinicas!$A$4:$R$205,16,FALSE),"Confirmar"))</x:f>
      </x:c>
      <x:c r="N18" s="3" t="str">
        <x:f>IF($B18="","",IFERROR(VLOOKUP($B18,Clinicas!$A$4:$R$205,13,FALSE),""))</x:f>
      </x:c>
      <x:c r="O18" s="3"/>
    </x:row>
    <x:row r="19">
      <x:c r="A19" s="5"/>
      <x:c r="B19" s="3" t="str"/>
      <x:c r="C19" s="3" t="str">
        <x:f>IF($B19="","",IFERROR(VLOOKUP($B19,Clinicas!$A$4:$R$205,2,FALSE),"ID nao cadastrado"))</x:f>
      </x:c>
      <x:c r="D19" s="3" t="str">
        <x:f>IF($B19="","",IFERROR(VLOOKUP($B19,Clinicas!$A$4:$R$205,4,FALSE),""))</x:f>
      </x:c>
      <x:c r="E19" s="3" t="str"/>
      <x:c r="F19" s="6" t="str"/>
      <x:c r="G19" s="6" t="str">
        <x:f>IF(OR($E19="",$F19=""),"",$F19/$E19)</x:f>
      </x:c>
      <x:c r="H19" s="3" t="str">
        <x:v>Exames de ultrassonografia veterinaria</x:v>
      </x:c>
      <x:c r="I19" s="3" t="str">
        <x:f>IF($A19="","",$H19&amp;" - "&amp;$E19&amp;" exame(s) realizado(s) em "&amp;TEXT($A19,"dd/mm/yyyy")&amp;". Valor referente ao Pix recebido em "&amp;TEXT($A19,"dd/mm/yyyy")&amp;".")</x:f>
      </x:c>
      <x:c r="J19" s="5" t="str">
        <x:f>IF($A19="","",$A19)</x:f>
      </x:c>
      <x:c r="K19" s="3" t="str"/>
      <x:c r="L19" s="3"/>
      <x:c r="M19" s="3" t="str">
        <x:f>IF($B19="","",IFERROR(VLOOKUP($B19,Clinicas!$A$4:$R$205,16,FALSE),"Confirmar"))</x:f>
      </x:c>
      <x:c r="N19" s="3" t="str">
        <x:f>IF($B19="","",IFERROR(VLOOKUP($B19,Clinicas!$A$4:$R$205,13,FALSE),""))</x:f>
      </x:c>
      <x:c r="O19" s="3"/>
    </x:row>
    <x:row r="20">
      <x:c r="A20" s="5"/>
      <x:c r="B20" s="3" t="str"/>
      <x:c r="C20" s="3" t="str">
        <x:f>IF($B20="","",IFERROR(VLOOKUP($B20,Clinicas!$A$4:$R$205,2,FALSE),"ID nao cadastrado"))</x:f>
      </x:c>
      <x:c r="D20" s="3" t="str">
        <x:f>IF($B20="","",IFERROR(VLOOKUP($B20,Clinicas!$A$4:$R$205,4,FALSE),""))</x:f>
      </x:c>
      <x:c r="E20" s="3" t="str"/>
      <x:c r="F20" s="6" t="str"/>
      <x:c r="G20" s="6" t="str">
        <x:f>IF(OR($E20="",$F20=""),"",$F20/$E20)</x:f>
      </x:c>
      <x:c r="H20" s="3" t="str">
        <x:v>Exames de ultrassonografia veterinaria</x:v>
      </x:c>
      <x:c r="I20" s="3" t="str">
        <x:f>IF($A20="","",$H20&amp;" - "&amp;$E20&amp;" exame(s) realizado(s) em "&amp;TEXT($A20,"dd/mm/yyyy")&amp;". Valor referente ao Pix recebido em "&amp;TEXT($A20,"dd/mm/yyyy")&amp;".")</x:f>
      </x:c>
      <x:c r="J20" s="5" t="str">
        <x:f>IF($A20="","",$A20)</x:f>
      </x:c>
      <x:c r="K20" s="3" t="str"/>
      <x:c r="L20" s="3"/>
      <x:c r="M20" s="3" t="str">
        <x:f>IF($B20="","",IFERROR(VLOOKUP($B20,Clinicas!$A$4:$R$205,16,FALSE),"Confirmar"))</x:f>
      </x:c>
      <x:c r="N20" s="3" t="str">
        <x:f>IF($B20="","",IFERROR(VLOOKUP($B20,Clinicas!$A$4:$R$205,13,FALSE),""))</x:f>
      </x:c>
      <x:c r="O20" s="3"/>
    </x:row>
    <x:row r="21">
      <x:c r="A21" s="5"/>
      <x:c r="B21" s="3" t="str"/>
      <x:c r="C21" s="3" t="str">
        <x:f>IF($B21="","",IFERROR(VLOOKUP($B21,Clinicas!$A$4:$R$205,2,FALSE),"ID nao cadastrado"))</x:f>
      </x:c>
      <x:c r="D21" s="3" t="str">
        <x:f>IF($B21="","",IFERROR(VLOOKUP($B21,Clinicas!$A$4:$R$205,4,FALSE),""))</x:f>
      </x:c>
      <x:c r="E21" s="3" t="str"/>
      <x:c r="F21" s="6" t="str"/>
      <x:c r="G21" s="6" t="str">
        <x:f>IF(OR($E21="",$F21=""),"",$F21/$E21)</x:f>
      </x:c>
      <x:c r="H21" s="3" t="str">
        <x:v>Exames de ultrassonografia veterinaria</x:v>
      </x:c>
      <x:c r="I21" s="3" t="str">
        <x:f>IF($A21="","",$H21&amp;" - "&amp;$E21&amp;" exame(s) realizado(s) em "&amp;TEXT($A21,"dd/mm/yyyy")&amp;". Valor referente ao Pix recebido em "&amp;TEXT($A21,"dd/mm/yyyy")&amp;".")</x:f>
      </x:c>
      <x:c r="J21" s="5" t="str">
        <x:f>IF($A21="","",$A21)</x:f>
      </x:c>
      <x:c r="K21" s="3" t="str"/>
      <x:c r="L21" s="3"/>
      <x:c r="M21" s="3" t="str">
        <x:f>IF($B21="","",IFERROR(VLOOKUP($B21,Clinicas!$A$4:$R$205,16,FALSE),"Confirmar"))</x:f>
      </x:c>
      <x:c r="N21" s="3" t="str">
        <x:f>IF($B21="","",IFERROR(VLOOKUP($B21,Clinicas!$A$4:$R$205,13,FALSE),""))</x:f>
      </x:c>
      <x:c r="O21" s="3"/>
    </x:row>
    <x:row r="22">
      <x:c r="A22" s="5"/>
      <x:c r="B22" s="3" t="str"/>
      <x:c r="C22" s="3" t="str">
        <x:f>IF($B22="","",IFERROR(VLOOKUP($B22,Clinicas!$A$4:$R$205,2,FALSE),"ID nao cadastrado"))</x:f>
      </x:c>
      <x:c r="D22" s="3" t="str">
        <x:f>IF($B22="","",IFERROR(VLOOKUP($B22,Clinicas!$A$4:$R$205,4,FALSE),""))</x:f>
      </x:c>
      <x:c r="E22" s="3" t="str"/>
      <x:c r="F22" s="6" t="str"/>
      <x:c r="G22" s="6" t="str">
        <x:f>IF(OR($E22="",$F22=""),"",$F22/$E22)</x:f>
      </x:c>
      <x:c r="H22" s="3" t="str">
        <x:v>Exames de ultrassonografia veterinaria</x:v>
      </x:c>
      <x:c r="I22" s="3" t="str">
        <x:f>IF($A22="","",$H22&amp;" - "&amp;$E22&amp;" exame(s) realizado(s) em "&amp;TEXT($A22,"dd/mm/yyyy")&amp;". Valor referente ao Pix recebido em "&amp;TEXT($A22,"dd/mm/yyyy")&amp;".")</x:f>
      </x:c>
      <x:c r="J22" s="5" t="str">
        <x:f>IF($A22="","",$A22)</x:f>
      </x:c>
      <x:c r="K22" s="3" t="str"/>
      <x:c r="L22" s="3"/>
      <x:c r="M22" s="3" t="str">
        <x:f>IF($B22="","",IFERROR(VLOOKUP($B22,Clinicas!$A$4:$R$205,16,FALSE),"Confirmar"))</x:f>
      </x:c>
      <x:c r="N22" s="3" t="str">
        <x:f>IF($B22="","",IFERROR(VLOOKUP($B22,Clinicas!$A$4:$R$205,13,FALSE),""))</x:f>
      </x:c>
      <x:c r="O22" s="3"/>
    </x:row>
    <x:row r="23">
      <x:c r="A23" s="5"/>
      <x:c r="B23" s="3" t="str"/>
      <x:c r="C23" s="3" t="str">
        <x:f>IF($B23="","",IFERROR(VLOOKUP($B23,Clinicas!$A$4:$R$205,2,FALSE),"ID nao cadastrado"))</x:f>
      </x:c>
      <x:c r="D23" s="3" t="str">
        <x:f>IF($B23="","",IFERROR(VLOOKUP($B23,Clinicas!$A$4:$R$205,4,FALSE),""))</x:f>
      </x:c>
      <x:c r="E23" s="3" t="str"/>
      <x:c r="F23" s="6" t="str"/>
      <x:c r="G23" s="6" t="str">
        <x:f>IF(OR($E23="",$F23=""),"",$F23/$E23)</x:f>
      </x:c>
      <x:c r="H23" s="3" t="str">
        <x:v>Exames de ultrassonografia veterinaria</x:v>
      </x:c>
      <x:c r="I23" s="3" t="str">
        <x:f>IF($A23="","",$H23&amp;" - "&amp;$E23&amp;" exame(s) realizado(s) em "&amp;TEXT($A23,"dd/mm/yyyy")&amp;". Valor referente ao Pix recebido em "&amp;TEXT($A23,"dd/mm/yyyy")&amp;".")</x:f>
      </x:c>
      <x:c r="J23" s="5" t="str">
        <x:f>IF($A23="","",$A23)</x:f>
      </x:c>
      <x:c r="K23" s="3" t="str"/>
      <x:c r="L23" s="3"/>
      <x:c r="M23" s="3" t="str">
        <x:f>IF($B23="","",IFERROR(VLOOKUP($B23,Clinicas!$A$4:$R$205,16,FALSE),"Confirmar"))</x:f>
      </x:c>
      <x:c r="N23" s="3" t="str">
        <x:f>IF($B23="","",IFERROR(VLOOKUP($B23,Clinicas!$A$4:$R$205,13,FALSE),""))</x:f>
      </x:c>
      <x:c r="O23" s="3"/>
    </x:row>
    <x:row r="24">
      <x:c r="A24" s="5"/>
      <x:c r="B24" s="3" t="str"/>
      <x:c r="C24" s="3" t="str">
        <x:f>IF($B24="","",IFERROR(VLOOKUP($B24,Clinicas!$A$4:$R$205,2,FALSE),"ID nao cadastrado"))</x:f>
      </x:c>
      <x:c r="D24" s="3" t="str">
        <x:f>IF($B24="","",IFERROR(VLOOKUP($B24,Clinicas!$A$4:$R$205,4,FALSE),""))</x:f>
      </x:c>
      <x:c r="E24" s="3" t="str"/>
      <x:c r="F24" s="6" t="str"/>
      <x:c r="G24" s="6" t="str">
        <x:f>IF(OR($E24="",$F24=""),"",$F24/$E24)</x:f>
      </x:c>
      <x:c r="H24" s="3" t="str">
        <x:v>Exames de ultrassonografia veterinaria</x:v>
      </x:c>
      <x:c r="I24" s="3" t="str">
        <x:f>IF($A24="","",$H24&amp;" - "&amp;$E24&amp;" exame(s) realizado(s) em "&amp;TEXT($A24,"dd/mm/yyyy")&amp;". Valor referente ao Pix recebido em "&amp;TEXT($A24,"dd/mm/yyyy")&amp;".")</x:f>
      </x:c>
      <x:c r="J24" s="5" t="str">
        <x:f>IF($A24="","",$A24)</x:f>
      </x:c>
      <x:c r="K24" s="3" t="str"/>
      <x:c r="L24" s="3"/>
      <x:c r="M24" s="3" t="str">
        <x:f>IF($B24="","",IFERROR(VLOOKUP($B24,Clinicas!$A$4:$R$205,16,FALSE),"Confirmar"))</x:f>
      </x:c>
      <x:c r="N24" s="3" t="str">
        <x:f>IF($B24="","",IFERROR(VLOOKUP($B24,Clinicas!$A$4:$R$205,13,FALSE),""))</x:f>
      </x:c>
      <x:c r="O24" s="3"/>
    </x:row>
    <x:row r="25">
      <x:c r="A25" s="5"/>
      <x:c r="B25" s="3" t="str"/>
      <x:c r="C25" s="3" t="str">
        <x:f>IF($B25="","",IFERROR(VLOOKUP($B25,Clinicas!$A$4:$R$205,2,FALSE),"ID nao cadastrado"))</x:f>
      </x:c>
      <x:c r="D25" s="3" t="str">
        <x:f>IF($B25="","",IFERROR(VLOOKUP($B25,Clinicas!$A$4:$R$205,4,FALSE),""))</x:f>
      </x:c>
      <x:c r="E25" s="3" t="str"/>
      <x:c r="F25" s="6" t="str"/>
      <x:c r="G25" s="6" t="str">
        <x:f>IF(OR($E25="",$F25=""),"",$F25/$E25)</x:f>
      </x:c>
      <x:c r="H25" s="3" t="str">
        <x:v>Exames de ultrassonografia veterinaria</x:v>
      </x:c>
      <x:c r="I25" s="3" t="str">
        <x:f>IF($A25="","",$H25&amp;" - "&amp;$E25&amp;" exame(s) realizado(s) em "&amp;TEXT($A25,"dd/mm/yyyy")&amp;". Valor referente ao Pix recebido em "&amp;TEXT($A25,"dd/mm/yyyy")&amp;".")</x:f>
      </x:c>
      <x:c r="J25" s="5" t="str">
        <x:f>IF($A25="","",$A25)</x:f>
      </x:c>
      <x:c r="K25" s="3" t="str"/>
      <x:c r="L25" s="3"/>
      <x:c r="M25" s="3" t="str">
        <x:f>IF($B25="","",IFERROR(VLOOKUP($B25,Clinicas!$A$4:$R$205,16,FALSE),"Confirmar"))</x:f>
      </x:c>
      <x:c r="N25" s="3" t="str">
        <x:f>IF($B25="","",IFERROR(VLOOKUP($B25,Clinicas!$A$4:$R$205,13,FALSE),""))</x:f>
      </x:c>
      <x:c r="O25" s="3"/>
    </x:row>
    <x:row r="26">
      <x:c r="A26" s="5"/>
      <x:c r="B26" s="3" t="str"/>
      <x:c r="C26" s="3" t="str">
        <x:f>IF($B26="","",IFERROR(VLOOKUP($B26,Clinicas!$A$4:$R$205,2,FALSE),"ID nao cadastrado"))</x:f>
      </x:c>
      <x:c r="D26" s="3" t="str">
        <x:f>IF($B26="","",IFERROR(VLOOKUP($B26,Clinicas!$A$4:$R$205,4,FALSE),""))</x:f>
      </x:c>
      <x:c r="E26" s="3" t="str"/>
      <x:c r="F26" s="6" t="str"/>
      <x:c r="G26" s="6" t="str">
        <x:f>IF(OR($E26="",$F26=""),"",$F26/$E26)</x:f>
      </x:c>
      <x:c r="H26" s="3" t="str">
        <x:v>Exames de ultrassonografia veterinaria</x:v>
      </x:c>
      <x:c r="I26" s="3" t="str">
        <x:f>IF($A26="","",$H26&amp;" - "&amp;$E26&amp;" exame(s) realizado(s) em "&amp;TEXT($A26,"dd/mm/yyyy")&amp;". Valor referente ao Pix recebido em "&amp;TEXT($A26,"dd/mm/yyyy")&amp;".")</x:f>
      </x:c>
      <x:c r="J26" s="5" t="str">
        <x:f>IF($A26="","",$A26)</x:f>
      </x:c>
      <x:c r="K26" s="3" t="str"/>
      <x:c r="L26" s="3"/>
      <x:c r="M26" s="3" t="str">
        <x:f>IF($B26="","",IFERROR(VLOOKUP($B26,Clinicas!$A$4:$R$205,16,FALSE),"Confirmar"))</x:f>
      </x:c>
      <x:c r="N26" s="3" t="str">
        <x:f>IF($B26="","",IFERROR(VLOOKUP($B26,Clinicas!$A$4:$R$205,13,FALSE),""))</x:f>
      </x:c>
      <x:c r="O26" s="3"/>
    </x:row>
    <x:row r="27">
      <x:c r="A27" s="5"/>
      <x:c r="B27" s="3" t="str"/>
      <x:c r="C27" s="3" t="str">
        <x:f>IF($B27="","",IFERROR(VLOOKUP($B27,Clinicas!$A$4:$R$205,2,FALSE),"ID nao cadastrado"))</x:f>
      </x:c>
      <x:c r="D27" s="3" t="str">
        <x:f>IF($B27="","",IFERROR(VLOOKUP($B27,Clinicas!$A$4:$R$205,4,FALSE),""))</x:f>
      </x:c>
      <x:c r="E27" s="3" t="str"/>
      <x:c r="F27" s="6" t="str"/>
      <x:c r="G27" s="6" t="str">
        <x:f>IF(OR($E27="",$F27=""),"",$F27/$E27)</x:f>
      </x:c>
      <x:c r="H27" s="3" t="str">
        <x:v>Exames de ultrassonografia veterinaria</x:v>
      </x:c>
      <x:c r="I27" s="3" t="str">
        <x:f>IF($A27="","",$H27&amp;" - "&amp;$E27&amp;" exame(s) realizado(s) em "&amp;TEXT($A27,"dd/mm/yyyy")&amp;". Valor referente ao Pix recebido em "&amp;TEXT($A27,"dd/mm/yyyy")&amp;".")</x:f>
      </x:c>
      <x:c r="J27" s="5" t="str">
        <x:f>IF($A27="","",$A27)</x:f>
      </x:c>
      <x:c r="K27" s="3" t="str"/>
      <x:c r="L27" s="3"/>
      <x:c r="M27" s="3" t="str">
        <x:f>IF($B27="","",IFERROR(VLOOKUP($B27,Clinicas!$A$4:$R$205,16,FALSE),"Confirmar"))</x:f>
      </x:c>
      <x:c r="N27" s="3" t="str">
        <x:f>IF($B27="","",IFERROR(VLOOKUP($B27,Clinicas!$A$4:$R$205,13,FALSE),""))</x:f>
      </x:c>
      <x:c r="O27" s="3"/>
    </x:row>
    <x:row r="28">
      <x:c r="A28" s="5"/>
      <x:c r="B28" s="3" t="str"/>
      <x:c r="C28" s="3" t="str">
        <x:f>IF($B28="","",IFERROR(VLOOKUP($B28,Clinicas!$A$4:$R$205,2,FALSE),"ID nao cadastrado"))</x:f>
      </x:c>
      <x:c r="D28" s="3" t="str">
        <x:f>IF($B28="","",IFERROR(VLOOKUP($B28,Clinicas!$A$4:$R$205,4,FALSE),""))</x:f>
      </x:c>
      <x:c r="E28" s="3" t="str"/>
      <x:c r="F28" s="6" t="str"/>
      <x:c r="G28" s="6" t="str">
        <x:f>IF(OR($E28="",$F28=""),"",$F28/$E28)</x:f>
      </x:c>
      <x:c r="H28" s="3" t="str">
        <x:v>Exames de ultrassonografia veterinaria</x:v>
      </x:c>
      <x:c r="I28" s="3" t="str">
        <x:f>IF($A28="","",$H28&amp;" - "&amp;$E28&amp;" exame(s) realizado(s) em "&amp;TEXT($A28,"dd/mm/yyyy")&amp;". Valor referente ao Pix recebido em "&amp;TEXT($A28,"dd/mm/yyyy")&amp;".")</x:f>
      </x:c>
      <x:c r="J28" s="5" t="str">
        <x:f>IF($A28="","",$A28)</x:f>
      </x:c>
      <x:c r="K28" s="3" t="str"/>
      <x:c r="L28" s="3"/>
      <x:c r="M28" s="3" t="str">
        <x:f>IF($B28="","",IFERROR(VLOOKUP($B28,Clinicas!$A$4:$R$205,16,FALSE),"Confirmar"))</x:f>
      </x:c>
      <x:c r="N28" s="3" t="str">
        <x:f>IF($B28="","",IFERROR(VLOOKUP($B28,Clinicas!$A$4:$R$205,13,FALSE),""))</x:f>
      </x:c>
      <x:c r="O28" s="3"/>
    </x:row>
    <x:row r="29">
      <x:c r="A29" s="5"/>
      <x:c r="B29" s="3" t="str"/>
      <x:c r="C29" s="3" t="str">
        <x:f>IF($B29="","",IFERROR(VLOOKUP($B29,Clinicas!$A$4:$R$205,2,FALSE),"ID nao cadastrado"))</x:f>
      </x:c>
      <x:c r="D29" s="3" t="str">
        <x:f>IF($B29="","",IFERROR(VLOOKUP($B29,Clinicas!$A$4:$R$205,4,FALSE),""))</x:f>
      </x:c>
      <x:c r="E29" s="3" t="str"/>
      <x:c r="F29" s="6" t="str"/>
      <x:c r="G29" s="6" t="str">
        <x:f>IF(OR($E29="",$F29=""),"",$F29/$E29)</x:f>
      </x:c>
      <x:c r="H29" s="3" t="str">
        <x:v>Exames de ultrassonografia veterinaria</x:v>
      </x:c>
      <x:c r="I29" s="3" t="str">
        <x:f>IF($A29="","",$H29&amp;" - "&amp;$E29&amp;" exame(s) realizado(s) em "&amp;TEXT($A29,"dd/mm/yyyy")&amp;". Valor referente ao Pix recebido em "&amp;TEXT($A29,"dd/mm/yyyy")&amp;".")</x:f>
      </x:c>
      <x:c r="J29" s="5" t="str">
        <x:f>IF($A29="","",$A29)</x:f>
      </x:c>
      <x:c r="K29" s="3" t="str"/>
      <x:c r="L29" s="3"/>
      <x:c r="M29" s="3" t="str">
        <x:f>IF($B29="","",IFERROR(VLOOKUP($B29,Clinicas!$A$4:$R$205,16,FALSE),"Confirmar"))</x:f>
      </x:c>
      <x:c r="N29" s="3" t="str">
        <x:f>IF($B29="","",IFERROR(VLOOKUP($B29,Clinicas!$A$4:$R$205,13,FALSE),""))</x:f>
      </x:c>
      <x:c r="O29" s="3"/>
    </x:row>
    <x:row r="30">
      <x:c r="A30" s="5"/>
      <x:c r="B30" s="3" t="str"/>
      <x:c r="C30" s="3" t="str">
        <x:f>IF($B30="","",IFERROR(VLOOKUP($B30,Clinicas!$A$4:$R$205,2,FALSE),"ID nao cadastrado"))</x:f>
      </x:c>
      <x:c r="D30" s="3" t="str">
        <x:f>IF($B30="","",IFERROR(VLOOKUP($B30,Clinicas!$A$4:$R$205,4,FALSE),""))</x:f>
      </x:c>
      <x:c r="E30" s="3" t="str"/>
      <x:c r="F30" s="6" t="str"/>
      <x:c r="G30" s="6" t="str">
        <x:f>IF(OR($E30="",$F30=""),"",$F30/$E30)</x:f>
      </x:c>
      <x:c r="H30" s="3" t="str">
        <x:v>Exames de ultrassonografia veterinaria</x:v>
      </x:c>
      <x:c r="I30" s="3" t="str">
        <x:f>IF($A30="","",$H30&amp;" - "&amp;$E30&amp;" exame(s) realizado(s) em "&amp;TEXT($A30,"dd/mm/yyyy")&amp;". Valor referente ao Pix recebido em "&amp;TEXT($A30,"dd/mm/yyyy")&amp;".")</x:f>
      </x:c>
      <x:c r="J30" s="5" t="str">
        <x:f>IF($A30="","",$A30)</x:f>
      </x:c>
      <x:c r="K30" s="3" t="str"/>
      <x:c r="L30" s="3"/>
      <x:c r="M30" s="3" t="str">
        <x:f>IF($B30="","",IFERROR(VLOOKUP($B30,Clinicas!$A$4:$R$205,16,FALSE),"Confirmar"))</x:f>
      </x:c>
      <x:c r="N30" s="3" t="str">
        <x:f>IF($B30="","",IFERROR(VLOOKUP($B30,Clinicas!$A$4:$R$205,13,FALSE),""))</x:f>
      </x:c>
      <x:c r="O30" s="3"/>
    </x:row>
    <x:row r="31">
      <x:c r="A31" s="5"/>
      <x:c r="B31" s="3" t="str"/>
      <x:c r="C31" s="3" t="str">
        <x:f>IF($B31="","",IFERROR(VLOOKUP($B31,Clinicas!$A$4:$R$205,2,FALSE),"ID nao cadastrado"))</x:f>
      </x:c>
      <x:c r="D31" s="3" t="str">
        <x:f>IF($B31="","",IFERROR(VLOOKUP($B31,Clinicas!$A$4:$R$205,4,FALSE),""))</x:f>
      </x:c>
      <x:c r="E31" s="3" t="str"/>
      <x:c r="F31" s="6" t="str"/>
      <x:c r="G31" s="6" t="str">
        <x:f>IF(OR($E31="",$F31=""),"",$F31/$E31)</x:f>
      </x:c>
      <x:c r="H31" s="3" t="str">
        <x:v>Exames de ultrassonografia veterinaria</x:v>
      </x:c>
      <x:c r="I31" s="3" t="str">
        <x:f>IF($A31="","",$H31&amp;" - "&amp;$E31&amp;" exame(s) realizado(s) em "&amp;TEXT($A31,"dd/mm/yyyy")&amp;". Valor referente ao Pix recebido em "&amp;TEXT($A31,"dd/mm/yyyy")&amp;".")</x:f>
      </x:c>
      <x:c r="J31" s="5" t="str">
        <x:f>IF($A31="","",$A31)</x:f>
      </x:c>
      <x:c r="K31" s="3" t="str"/>
      <x:c r="L31" s="3"/>
      <x:c r="M31" s="3" t="str">
        <x:f>IF($B31="","",IFERROR(VLOOKUP($B31,Clinicas!$A$4:$R$205,16,FALSE),"Confirmar"))</x:f>
      </x:c>
      <x:c r="N31" s="3" t="str">
        <x:f>IF($B31="","",IFERROR(VLOOKUP($B31,Clinicas!$A$4:$R$205,13,FALSE),""))</x:f>
      </x:c>
      <x:c r="O31" s="3"/>
    </x:row>
    <x:row r="32">
      <x:c r="A32" s="5"/>
      <x:c r="B32" s="3" t="str"/>
      <x:c r="C32" s="3" t="str">
        <x:f>IF($B32="","",IFERROR(VLOOKUP($B32,Clinicas!$A$4:$R$205,2,FALSE),"ID nao cadastrado"))</x:f>
      </x:c>
      <x:c r="D32" s="3" t="str">
        <x:f>IF($B32="","",IFERROR(VLOOKUP($B32,Clinicas!$A$4:$R$205,4,FALSE),""))</x:f>
      </x:c>
      <x:c r="E32" s="3" t="str"/>
      <x:c r="F32" s="6" t="str"/>
      <x:c r="G32" s="6" t="str">
        <x:f>IF(OR($E32="",$F32=""),"",$F32/$E32)</x:f>
      </x:c>
      <x:c r="H32" s="3" t="str">
        <x:v>Exames de ultrassonografia veterinaria</x:v>
      </x:c>
      <x:c r="I32" s="3" t="str">
        <x:f>IF($A32="","",$H32&amp;" - "&amp;$E32&amp;" exame(s) realizado(s) em "&amp;TEXT($A32,"dd/mm/yyyy")&amp;". Valor referente ao Pix recebido em "&amp;TEXT($A32,"dd/mm/yyyy")&amp;".")</x:f>
      </x:c>
      <x:c r="J32" s="5" t="str">
        <x:f>IF($A32="","",$A32)</x:f>
      </x:c>
      <x:c r="K32" s="3" t="str"/>
      <x:c r="L32" s="3"/>
      <x:c r="M32" s="3" t="str">
        <x:f>IF($B32="","",IFERROR(VLOOKUP($B32,Clinicas!$A$4:$R$205,16,FALSE),"Confirmar"))</x:f>
      </x:c>
      <x:c r="N32" s="3" t="str">
        <x:f>IF($B32="","",IFERROR(VLOOKUP($B32,Clinicas!$A$4:$R$205,13,FALSE),""))</x:f>
      </x:c>
      <x:c r="O32" s="3"/>
    </x:row>
    <x:row r="33">
      <x:c r="A33" s="5"/>
      <x:c r="B33" s="3" t="str"/>
      <x:c r="C33" s="3" t="str">
        <x:f>IF($B33="","",IFERROR(VLOOKUP($B33,Clinicas!$A$4:$R$205,2,FALSE),"ID nao cadastrado"))</x:f>
      </x:c>
      <x:c r="D33" s="3" t="str">
        <x:f>IF($B33="","",IFERROR(VLOOKUP($B33,Clinicas!$A$4:$R$205,4,FALSE),""))</x:f>
      </x:c>
      <x:c r="E33" s="3" t="str"/>
      <x:c r="F33" s="6" t="str"/>
      <x:c r="G33" s="6" t="str">
        <x:f>IF(OR($E33="",$F33=""),"",$F33/$E33)</x:f>
      </x:c>
      <x:c r="H33" s="3" t="str">
        <x:v>Exames de ultrassonografia veterinaria</x:v>
      </x:c>
      <x:c r="I33" s="3" t="str">
        <x:f>IF($A33="","",$H33&amp;" - "&amp;$E33&amp;" exame(s) realizado(s) em "&amp;TEXT($A33,"dd/mm/yyyy")&amp;". Valor referente ao Pix recebido em "&amp;TEXT($A33,"dd/mm/yyyy")&amp;".")</x:f>
      </x:c>
      <x:c r="J33" s="5" t="str">
        <x:f>IF($A33="","",$A33)</x:f>
      </x:c>
      <x:c r="K33" s="3" t="str"/>
      <x:c r="L33" s="3"/>
      <x:c r="M33" s="3" t="str">
        <x:f>IF($B33="","",IFERROR(VLOOKUP($B33,Clinicas!$A$4:$R$205,16,FALSE),"Confirmar"))</x:f>
      </x:c>
      <x:c r="N33" s="3" t="str">
        <x:f>IF($B33="","",IFERROR(VLOOKUP($B33,Clinicas!$A$4:$R$205,13,FALSE),""))</x:f>
      </x:c>
      <x:c r="O33" s="3"/>
    </x:row>
    <x:row r="34">
      <x:c r="A34" s="5"/>
      <x:c r="B34" s="3" t="str"/>
      <x:c r="C34" s="3" t="str">
        <x:f>IF($B34="","",IFERROR(VLOOKUP($B34,Clinicas!$A$4:$R$205,2,FALSE),"ID nao cadastrado"))</x:f>
      </x:c>
      <x:c r="D34" s="3" t="str">
        <x:f>IF($B34="","",IFERROR(VLOOKUP($B34,Clinicas!$A$4:$R$205,4,FALSE),""))</x:f>
      </x:c>
      <x:c r="E34" s="3" t="str"/>
      <x:c r="F34" s="6" t="str"/>
      <x:c r="G34" s="6" t="str">
        <x:f>IF(OR($E34="",$F34=""),"",$F34/$E34)</x:f>
      </x:c>
      <x:c r="H34" s="3" t="str">
        <x:v>Exames de ultrassonografia veterinaria</x:v>
      </x:c>
      <x:c r="I34" s="3" t="str">
        <x:f>IF($A34="","",$H34&amp;" - "&amp;$E34&amp;" exame(s) realizado(s) em "&amp;TEXT($A34,"dd/mm/yyyy")&amp;". Valor referente ao Pix recebido em "&amp;TEXT($A34,"dd/mm/yyyy")&amp;".")</x:f>
      </x:c>
      <x:c r="J34" s="5" t="str">
        <x:f>IF($A34="","",$A34)</x:f>
      </x:c>
      <x:c r="K34" s="3" t="str"/>
      <x:c r="L34" s="3"/>
      <x:c r="M34" s="3" t="str">
        <x:f>IF($B34="","",IFERROR(VLOOKUP($B34,Clinicas!$A$4:$R$205,16,FALSE),"Confirmar"))</x:f>
      </x:c>
      <x:c r="N34" s="3" t="str">
        <x:f>IF($B34="","",IFERROR(VLOOKUP($B34,Clinicas!$A$4:$R$205,13,FALSE),""))</x:f>
      </x:c>
      <x:c r="O34" s="3"/>
    </x:row>
    <x:row r="35">
      <x:c r="A35" s="5"/>
      <x:c r="B35" s="3" t="str"/>
      <x:c r="C35" s="3" t="str">
        <x:f>IF($B35="","",IFERROR(VLOOKUP($B35,Clinicas!$A$4:$R$205,2,FALSE),"ID nao cadastrado"))</x:f>
      </x:c>
      <x:c r="D35" s="3" t="str">
        <x:f>IF($B35="","",IFERROR(VLOOKUP($B35,Clinicas!$A$4:$R$205,4,FALSE),""))</x:f>
      </x:c>
      <x:c r="E35" s="3" t="str"/>
      <x:c r="F35" s="6" t="str"/>
      <x:c r="G35" s="6" t="str">
        <x:f>IF(OR($E35="",$F35=""),"",$F35/$E35)</x:f>
      </x:c>
      <x:c r="H35" s="3" t="str">
        <x:v>Exames de ultrassonografia veterinaria</x:v>
      </x:c>
      <x:c r="I35" s="3" t="str">
        <x:f>IF($A35="","",$H35&amp;" - "&amp;$E35&amp;" exame(s) realizado(s) em "&amp;TEXT($A35,"dd/mm/yyyy")&amp;". Valor referente ao Pix recebido em "&amp;TEXT($A35,"dd/mm/yyyy")&amp;".")</x:f>
      </x:c>
      <x:c r="J35" s="5" t="str">
        <x:f>IF($A35="","",$A35)</x:f>
      </x:c>
      <x:c r="K35" s="3" t="str"/>
      <x:c r="L35" s="3"/>
      <x:c r="M35" s="3" t="str">
        <x:f>IF($B35="","",IFERROR(VLOOKUP($B35,Clinicas!$A$4:$R$205,16,FALSE),"Confirmar"))</x:f>
      </x:c>
      <x:c r="N35" s="3" t="str">
        <x:f>IF($B35="","",IFERROR(VLOOKUP($B35,Clinicas!$A$4:$R$205,13,FALSE),""))</x:f>
      </x:c>
      <x:c r="O35" s="3"/>
    </x:row>
    <x:row r="36">
      <x:c r="A36" s="5"/>
      <x:c r="B36" s="3" t="str"/>
      <x:c r="C36" s="3" t="str">
        <x:f>IF($B36="","",IFERROR(VLOOKUP($B36,Clinicas!$A$4:$R$205,2,FALSE),"ID nao cadastrado"))</x:f>
      </x:c>
      <x:c r="D36" s="3" t="str">
        <x:f>IF($B36="","",IFERROR(VLOOKUP($B36,Clinicas!$A$4:$R$205,4,FALSE),""))</x:f>
      </x:c>
      <x:c r="E36" s="3" t="str"/>
      <x:c r="F36" s="6" t="str"/>
      <x:c r="G36" s="6" t="str">
        <x:f>IF(OR($E36="",$F36=""),"",$F36/$E36)</x:f>
      </x:c>
      <x:c r="H36" s="3" t="str">
        <x:v>Exames de ultrassonografia veterinaria</x:v>
      </x:c>
      <x:c r="I36" s="3" t="str">
        <x:f>IF($A36="","",$H36&amp;" - "&amp;$E36&amp;" exame(s) realizado(s) em "&amp;TEXT($A36,"dd/mm/yyyy")&amp;". Valor referente ao Pix recebido em "&amp;TEXT($A36,"dd/mm/yyyy")&amp;".")</x:f>
      </x:c>
      <x:c r="J36" s="5" t="str">
        <x:f>IF($A36="","",$A36)</x:f>
      </x:c>
      <x:c r="K36" s="3" t="str"/>
      <x:c r="L36" s="3"/>
      <x:c r="M36" s="3" t="str">
        <x:f>IF($B36="","",IFERROR(VLOOKUP($B36,Clinicas!$A$4:$R$205,16,FALSE),"Confirmar"))</x:f>
      </x:c>
      <x:c r="N36" s="3" t="str">
        <x:f>IF($B36="","",IFERROR(VLOOKUP($B36,Clinicas!$A$4:$R$205,13,FALSE),""))</x:f>
      </x:c>
      <x:c r="O36" s="3"/>
    </x:row>
    <x:row r="37">
      <x:c r="A37" s="5"/>
      <x:c r="B37" s="3" t="str"/>
      <x:c r="C37" s="3" t="str">
        <x:f>IF($B37="","",IFERROR(VLOOKUP($B37,Clinicas!$A$4:$R$205,2,FALSE),"ID nao cadastrado"))</x:f>
      </x:c>
      <x:c r="D37" s="3" t="str">
        <x:f>IF($B37="","",IFERROR(VLOOKUP($B37,Clinicas!$A$4:$R$205,4,FALSE),""))</x:f>
      </x:c>
      <x:c r="E37" s="3" t="str"/>
      <x:c r="F37" s="6" t="str"/>
      <x:c r="G37" s="6" t="str">
        <x:f>IF(OR($E37="",$F37=""),"",$F37/$E37)</x:f>
      </x:c>
      <x:c r="H37" s="3" t="str">
        <x:v>Exames de ultrassonografia veterinaria</x:v>
      </x:c>
      <x:c r="I37" s="3" t="str">
        <x:f>IF($A37="","",$H37&amp;" - "&amp;$E37&amp;" exame(s) realizado(s) em "&amp;TEXT($A37,"dd/mm/yyyy")&amp;". Valor referente ao Pix recebido em "&amp;TEXT($A37,"dd/mm/yyyy")&amp;".")</x:f>
      </x:c>
      <x:c r="J37" s="5" t="str">
        <x:f>IF($A37="","",$A37)</x:f>
      </x:c>
      <x:c r="K37" s="3" t="str"/>
      <x:c r="L37" s="3"/>
      <x:c r="M37" s="3" t="str">
        <x:f>IF($B37="","",IFERROR(VLOOKUP($B37,Clinicas!$A$4:$R$205,16,FALSE),"Confirmar"))</x:f>
      </x:c>
      <x:c r="N37" s="3" t="str">
        <x:f>IF($B37="","",IFERROR(VLOOKUP($B37,Clinicas!$A$4:$R$205,13,FALSE),""))</x:f>
      </x:c>
      <x:c r="O37" s="3"/>
    </x:row>
    <x:row r="38">
      <x:c r="A38" s="5"/>
      <x:c r="B38" s="3" t="str"/>
      <x:c r="C38" s="3" t="str">
        <x:f>IF($B38="","",IFERROR(VLOOKUP($B38,Clinicas!$A$4:$R$205,2,FALSE),"ID nao cadastrado"))</x:f>
      </x:c>
      <x:c r="D38" s="3" t="str">
        <x:f>IF($B38="","",IFERROR(VLOOKUP($B38,Clinicas!$A$4:$R$205,4,FALSE),""))</x:f>
      </x:c>
      <x:c r="E38" s="3" t="str"/>
      <x:c r="F38" s="6" t="str"/>
      <x:c r="G38" s="6" t="str">
        <x:f>IF(OR($E38="",$F38=""),"",$F38/$E38)</x:f>
      </x:c>
      <x:c r="H38" s="3" t="str">
        <x:v>Exames de ultrassonografia veterinaria</x:v>
      </x:c>
      <x:c r="I38" s="3" t="str">
        <x:f>IF($A38="","",$H38&amp;" - "&amp;$E38&amp;" exame(s) realizado(s) em "&amp;TEXT($A38,"dd/mm/yyyy")&amp;". Valor referente ao Pix recebido em "&amp;TEXT($A38,"dd/mm/yyyy")&amp;".")</x:f>
      </x:c>
      <x:c r="J38" s="5" t="str">
        <x:f>IF($A38="","",$A38)</x:f>
      </x:c>
      <x:c r="K38" s="3" t="str"/>
      <x:c r="L38" s="3"/>
      <x:c r="M38" s="3" t="str">
        <x:f>IF($B38="","",IFERROR(VLOOKUP($B38,Clinicas!$A$4:$R$205,16,FALSE),"Confirmar"))</x:f>
      </x:c>
      <x:c r="N38" s="3" t="str">
        <x:f>IF($B38="","",IFERROR(VLOOKUP($B38,Clinicas!$A$4:$R$205,13,FALSE),""))</x:f>
      </x:c>
      <x:c r="O38" s="3"/>
    </x:row>
    <x:row r="39">
      <x:c r="A39" s="5"/>
      <x:c r="B39" s="3" t="str"/>
      <x:c r="C39" s="3" t="str">
        <x:f>IF($B39="","",IFERROR(VLOOKUP($B39,Clinicas!$A$4:$R$205,2,FALSE),"ID nao cadastrado"))</x:f>
      </x:c>
      <x:c r="D39" s="3" t="str">
        <x:f>IF($B39="","",IFERROR(VLOOKUP($B39,Clinicas!$A$4:$R$205,4,FALSE),""))</x:f>
      </x:c>
      <x:c r="E39" s="3" t="str"/>
      <x:c r="F39" s="6" t="str"/>
      <x:c r="G39" s="6" t="str">
        <x:f>IF(OR($E39="",$F39=""),"",$F39/$E39)</x:f>
      </x:c>
      <x:c r="H39" s="3" t="str">
        <x:v>Exames de ultrassonografia veterinaria</x:v>
      </x:c>
      <x:c r="I39" s="3" t="str">
        <x:f>IF($A39="","",$H39&amp;" - "&amp;$E39&amp;" exame(s) realizado(s) em "&amp;TEXT($A39,"dd/mm/yyyy")&amp;". Valor referente ao Pix recebido em "&amp;TEXT($A39,"dd/mm/yyyy")&amp;".")</x:f>
      </x:c>
      <x:c r="J39" s="5" t="str">
        <x:f>IF($A39="","",$A39)</x:f>
      </x:c>
      <x:c r="K39" s="3" t="str"/>
      <x:c r="L39" s="3"/>
      <x:c r="M39" s="3" t="str">
        <x:f>IF($B39="","",IFERROR(VLOOKUP($B39,Clinicas!$A$4:$R$205,16,FALSE),"Confirmar"))</x:f>
      </x:c>
      <x:c r="N39" s="3" t="str">
        <x:f>IF($B39="","",IFERROR(VLOOKUP($B39,Clinicas!$A$4:$R$205,13,FALSE),""))</x:f>
      </x:c>
      <x:c r="O39" s="3"/>
    </x:row>
    <x:row r="40">
      <x:c r="A40" s="5"/>
      <x:c r="B40" s="3" t="str"/>
      <x:c r="C40" s="3" t="str">
        <x:f>IF($B40="","",IFERROR(VLOOKUP($B40,Clinicas!$A$4:$R$205,2,FALSE),"ID nao cadastrado"))</x:f>
      </x:c>
      <x:c r="D40" s="3" t="str">
        <x:f>IF($B40="","",IFERROR(VLOOKUP($B40,Clinicas!$A$4:$R$205,4,FALSE),""))</x:f>
      </x:c>
      <x:c r="E40" s="3" t="str"/>
      <x:c r="F40" s="6" t="str"/>
      <x:c r="G40" s="6" t="str">
        <x:f>IF(OR($E40="",$F40=""),"",$F40/$E40)</x:f>
      </x:c>
      <x:c r="H40" s="3" t="str">
        <x:v>Exames de ultrassonografia veterinaria</x:v>
      </x:c>
      <x:c r="I40" s="3" t="str">
        <x:f>IF($A40="","",$H40&amp;" - "&amp;$E40&amp;" exame(s) realizado(s) em "&amp;TEXT($A40,"dd/mm/yyyy")&amp;". Valor referente ao Pix recebido em "&amp;TEXT($A40,"dd/mm/yyyy")&amp;".")</x:f>
      </x:c>
      <x:c r="J40" s="5" t="str">
        <x:f>IF($A40="","",$A40)</x:f>
      </x:c>
      <x:c r="K40" s="3" t="str"/>
      <x:c r="L40" s="3"/>
      <x:c r="M40" s="3" t="str">
        <x:f>IF($B40="","",IFERROR(VLOOKUP($B40,Clinicas!$A$4:$R$205,16,FALSE),"Confirmar"))</x:f>
      </x:c>
      <x:c r="N40" s="3" t="str">
        <x:f>IF($B40="","",IFERROR(VLOOKUP($B40,Clinicas!$A$4:$R$205,13,FALSE),""))</x:f>
      </x:c>
      <x:c r="O40" s="3"/>
    </x:row>
    <x:row r="41">
      <x:c r="A41" s="5"/>
      <x:c r="B41" s="3" t="str"/>
      <x:c r="C41" s="3" t="str">
        <x:f>IF($B41="","",IFERROR(VLOOKUP($B41,Clinicas!$A$4:$R$205,2,FALSE),"ID nao cadastrado"))</x:f>
      </x:c>
      <x:c r="D41" s="3" t="str">
        <x:f>IF($B41="","",IFERROR(VLOOKUP($B41,Clinicas!$A$4:$R$205,4,FALSE),""))</x:f>
      </x:c>
      <x:c r="E41" s="3" t="str"/>
      <x:c r="F41" s="6" t="str"/>
      <x:c r="G41" s="6" t="str">
        <x:f>IF(OR($E41="",$F41=""),"",$F41/$E41)</x:f>
      </x:c>
      <x:c r="H41" s="3" t="str">
        <x:v>Exames de ultrassonografia veterinaria</x:v>
      </x:c>
      <x:c r="I41" s="3" t="str">
        <x:f>IF($A41="","",$H41&amp;" - "&amp;$E41&amp;" exame(s) realizado(s) em "&amp;TEXT($A41,"dd/mm/yyyy")&amp;". Valor referente ao Pix recebido em "&amp;TEXT($A41,"dd/mm/yyyy")&amp;".")</x:f>
      </x:c>
      <x:c r="J41" s="5" t="str">
        <x:f>IF($A41="","",$A41)</x:f>
      </x:c>
      <x:c r="K41" s="3" t="str"/>
      <x:c r="L41" s="3"/>
      <x:c r="M41" s="3" t="str">
        <x:f>IF($B41="","",IFERROR(VLOOKUP($B41,Clinicas!$A$4:$R$205,16,FALSE),"Confirmar"))</x:f>
      </x:c>
      <x:c r="N41" s="3" t="str">
        <x:f>IF($B41="","",IFERROR(VLOOKUP($B41,Clinicas!$A$4:$R$205,13,FALSE),""))</x:f>
      </x:c>
      <x:c r="O41" s="3"/>
    </x:row>
    <x:row r="42">
      <x:c r="A42" s="5"/>
      <x:c r="B42" s="3" t="str"/>
      <x:c r="C42" s="3" t="str">
        <x:f>IF($B42="","",IFERROR(VLOOKUP($B42,Clinicas!$A$4:$R$205,2,FALSE),"ID nao cadastrado"))</x:f>
      </x:c>
      <x:c r="D42" s="3" t="str">
        <x:f>IF($B42="","",IFERROR(VLOOKUP($B42,Clinicas!$A$4:$R$205,4,FALSE),""))</x:f>
      </x:c>
      <x:c r="E42" s="3" t="str"/>
      <x:c r="F42" s="6" t="str"/>
      <x:c r="G42" s="6" t="str">
        <x:f>IF(OR($E42="",$F42=""),"",$F42/$E42)</x:f>
      </x:c>
      <x:c r="H42" s="3" t="str">
        <x:v>Exames de ultrassonografia veterinaria</x:v>
      </x:c>
      <x:c r="I42" s="3" t="str">
        <x:f>IF($A42="","",$H42&amp;" - "&amp;$E42&amp;" exame(s) realizado(s) em "&amp;TEXT($A42,"dd/mm/yyyy")&amp;". Valor referente ao Pix recebido em "&amp;TEXT($A42,"dd/mm/yyyy")&amp;".")</x:f>
      </x:c>
      <x:c r="J42" s="5" t="str">
        <x:f>IF($A42="","",$A42)</x:f>
      </x:c>
      <x:c r="K42" s="3" t="str"/>
      <x:c r="L42" s="3"/>
      <x:c r="M42" s="3" t="str">
        <x:f>IF($B42="","",IFERROR(VLOOKUP($B42,Clinicas!$A$4:$R$205,16,FALSE),"Confirmar"))</x:f>
      </x:c>
      <x:c r="N42" s="3" t="str">
        <x:f>IF($B42="","",IFERROR(VLOOKUP($B42,Clinicas!$A$4:$R$205,13,FALSE),""))</x:f>
      </x:c>
      <x:c r="O42" s="3"/>
    </x:row>
    <x:row r="43">
      <x:c r="A43" s="5"/>
      <x:c r="B43" s="3" t="str"/>
      <x:c r="C43" s="3" t="str">
        <x:f>IF($B43="","",IFERROR(VLOOKUP($B43,Clinicas!$A$4:$R$205,2,FALSE),"ID nao cadastrado"))</x:f>
      </x:c>
      <x:c r="D43" s="3" t="str">
        <x:f>IF($B43="","",IFERROR(VLOOKUP($B43,Clinicas!$A$4:$R$205,4,FALSE),""))</x:f>
      </x:c>
      <x:c r="E43" s="3" t="str"/>
      <x:c r="F43" s="6" t="str"/>
      <x:c r="G43" s="6" t="str">
        <x:f>IF(OR($E43="",$F43=""),"",$F43/$E43)</x:f>
      </x:c>
      <x:c r="H43" s="3" t="str">
        <x:v>Exames de ultrassonografia veterinaria</x:v>
      </x:c>
      <x:c r="I43" s="3" t="str">
        <x:f>IF($A43="","",$H43&amp;" - "&amp;$E43&amp;" exame(s) realizado(s) em "&amp;TEXT($A43,"dd/mm/yyyy")&amp;". Valor referente ao Pix recebido em "&amp;TEXT($A43,"dd/mm/yyyy")&amp;".")</x:f>
      </x:c>
      <x:c r="J43" s="5" t="str">
        <x:f>IF($A43="","",$A43)</x:f>
      </x:c>
      <x:c r="K43" s="3" t="str"/>
      <x:c r="L43" s="3"/>
      <x:c r="M43" s="3" t="str">
        <x:f>IF($B43="","",IFERROR(VLOOKUP($B43,Clinicas!$A$4:$R$205,16,FALSE),"Confirmar"))</x:f>
      </x:c>
      <x:c r="N43" s="3" t="str">
        <x:f>IF($B43="","",IFERROR(VLOOKUP($B43,Clinicas!$A$4:$R$205,13,FALSE),""))</x:f>
      </x:c>
      <x:c r="O43" s="3"/>
    </x:row>
    <x:row r="44">
      <x:c r="A44" s="5"/>
      <x:c r="B44" s="3" t="str"/>
      <x:c r="C44" s="3" t="str">
        <x:f>IF($B44="","",IFERROR(VLOOKUP($B44,Clinicas!$A$4:$R$205,2,FALSE),"ID nao cadastrado"))</x:f>
      </x:c>
      <x:c r="D44" s="3" t="str">
        <x:f>IF($B44="","",IFERROR(VLOOKUP($B44,Clinicas!$A$4:$R$205,4,FALSE),""))</x:f>
      </x:c>
      <x:c r="E44" s="3" t="str"/>
      <x:c r="F44" s="6" t="str"/>
      <x:c r="G44" s="6" t="str">
        <x:f>IF(OR($E44="",$F44=""),"",$F44/$E44)</x:f>
      </x:c>
      <x:c r="H44" s="3" t="str">
        <x:v>Exames de ultrassonografia veterinaria</x:v>
      </x:c>
      <x:c r="I44" s="3" t="str">
        <x:f>IF($A44="","",$H44&amp;" - "&amp;$E44&amp;" exame(s) realizado(s) em "&amp;TEXT($A44,"dd/mm/yyyy")&amp;". Valor referente ao Pix recebido em "&amp;TEXT($A44,"dd/mm/yyyy")&amp;".")</x:f>
      </x:c>
      <x:c r="J44" s="5" t="str">
        <x:f>IF($A44="","",$A44)</x:f>
      </x:c>
      <x:c r="K44" s="3" t="str"/>
      <x:c r="L44" s="3"/>
      <x:c r="M44" s="3" t="str">
        <x:f>IF($B44="","",IFERROR(VLOOKUP($B44,Clinicas!$A$4:$R$205,16,FALSE),"Confirmar"))</x:f>
      </x:c>
      <x:c r="N44" s="3" t="str">
        <x:f>IF($B44="","",IFERROR(VLOOKUP($B44,Clinicas!$A$4:$R$205,13,FALSE),""))</x:f>
      </x:c>
      <x:c r="O44" s="3"/>
    </x:row>
    <x:row r="45">
      <x:c r="A45" s="5"/>
      <x:c r="B45" s="3" t="str"/>
      <x:c r="C45" s="3" t="str">
        <x:f>IF($B45="","",IFERROR(VLOOKUP($B45,Clinicas!$A$4:$R$205,2,FALSE),"ID nao cadastrado"))</x:f>
      </x:c>
      <x:c r="D45" s="3" t="str">
        <x:f>IF($B45="","",IFERROR(VLOOKUP($B45,Clinicas!$A$4:$R$205,4,FALSE),""))</x:f>
      </x:c>
      <x:c r="E45" s="3" t="str"/>
      <x:c r="F45" s="6" t="str"/>
      <x:c r="G45" s="6" t="str">
        <x:f>IF(OR($E45="",$F45=""),"",$F45/$E45)</x:f>
      </x:c>
      <x:c r="H45" s="3" t="str">
        <x:v>Exames de ultrassonografia veterinaria</x:v>
      </x:c>
      <x:c r="I45" s="3" t="str">
        <x:f>IF($A45="","",$H45&amp;" - "&amp;$E45&amp;" exame(s) realizado(s) em "&amp;TEXT($A45,"dd/mm/yyyy")&amp;". Valor referente ao Pix recebido em "&amp;TEXT($A45,"dd/mm/yyyy")&amp;".")</x:f>
      </x:c>
      <x:c r="J45" s="5" t="str">
        <x:f>IF($A45="","",$A45)</x:f>
      </x:c>
      <x:c r="K45" s="3" t="str"/>
      <x:c r="L45" s="3"/>
      <x:c r="M45" s="3" t="str">
        <x:f>IF($B45="","",IFERROR(VLOOKUP($B45,Clinicas!$A$4:$R$205,16,FALSE),"Confirmar"))</x:f>
      </x:c>
      <x:c r="N45" s="3" t="str">
        <x:f>IF($B45="","",IFERROR(VLOOKUP($B45,Clinicas!$A$4:$R$205,13,FALSE),""))</x:f>
      </x:c>
      <x:c r="O45" s="3"/>
    </x:row>
    <x:row r="46">
      <x:c r="A46" s="5"/>
      <x:c r="B46" s="3" t="str"/>
      <x:c r="C46" s="3" t="str">
        <x:f>IF($B46="","",IFERROR(VLOOKUP($B46,Clinicas!$A$4:$R$205,2,FALSE),"ID nao cadastrado"))</x:f>
      </x:c>
      <x:c r="D46" s="3" t="str">
        <x:f>IF($B46="","",IFERROR(VLOOKUP($B46,Clinicas!$A$4:$R$205,4,FALSE),""))</x:f>
      </x:c>
      <x:c r="E46" s="3" t="str"/>
      <x:c r="F46" s="6" t="str"/>
      <x:c r="G46" s="6" t="str">
        <x:f>IF(OR($E46="",$F46=""),"",$F46/$E46)</x:f>
      </x:c>
      <x:c r="H46" s="3" t="str">
        <x:v>Exames de ultrassonografia veterinaria</x:v>
      </x:c>
      <x:c r="I46" s="3" t="str">
        <x:f>IF($A46="","",$H46&amp;" - "&amp;$E46&amp;" exame(s) realizado(s) em "&amp;TEXT($A46,"dd/mm/yyyy")&amp;". Valor referente ao Pix recebido em "&amp;TEXT($A46,"dd/mm/yyyy")&amp;".")</x:f>
      </x:c>
      <x:c r="J46" s="5" t="str">
        <x:f>IF($A46="","",$A46)</x:f>
      </x:c>
      <x:c r="K46" s="3" t="str"/>
      <x:c r="L46" s="3"/>
      <x:c r="M46" s="3" t="str">
        <x:f>IF($B46="","",IFERROR(VLOOKUP($B46,Clinicas!$A$4:$R$205,16,FALSE),"Confirmar"))</x:f>
      </x:c>
      <x:c r="N46" s="3" t="str">
        <x:f>IF($B46="","",IFERROR(VLOOKUP($B46,Clinicas!$A$4:$R$205,13,FALSE),""))</x:f>
      </x:c>
      <x:c r="O46" s="3"/>
    </x:row>
    <x:row r="47">
      <x:c r="A47" s="5"/>
      <x:c r="B47" s="3" t="str"/>
      <x:c r="C47" s="3" t="str">
        <x:f>IF($B47="","",IFERROR(VLOOKUP($B47,Clinicas!$A$4:$R$205,2,FALSE),"ID nao cadastrado"))</x:f>
      </x:c>
      <x:c r="D47" s="3" t="str">
        <x:f>IF($B47="","",IFERROR(VLOOKUP($B47,Clinicas!$A$4:$R$205,4,FALSE),""))</x:f>
      </x:c>
      <x:c r="E47" s="3" t="str"/>
      <x:c r="F47" s="6" t="str"/>
      <x:c r="G47" s="6" t="str">
        <x:f>IF(OR($E47="",$F47=""),"",$F47/$E47)</x:f>
      </x:c>
      <x:c r="H47" s="3" t="str">
        <x:v>Exames de ultrassonografia veterinaria</x:v>
      </x:c>
      <x:c r="I47" s="3" t="str">
        <x:f>IF($A47="","",$H47&amp;" - "&amp;$E47&amp;" exame(s) realizado(s) em "&amp;TEXT($A47,"dd/mm/yyyy")&amp;". Valor referente ao Pix recebido em "&amp;TEXT($A47,"dd/mm/yyyy")&amp;".")</x:f>
      </x:c>
      <x:c r="J47" s="5" t="str">
        <x:f>IF($A47="","",$A47)</x:f>
      </x:c>
      <x:c r="K47" s="3" t="str"/>
      <x:c r="L47" s="3"/>
      <x:c r="M47" s="3" t="str">
        <x:f>IF($B47="","",IFERROR(VLOOKUP($B47,Clinicas!$A$4:$R$205,16,FALSE),"Confirmar"))</x:f>
      </x:c>
      <x:c r="N47" s="3" t="str">
        <x:f>IF($B47="","",IFERROR(VLOOKUP($B47,Clinicas!$A$4:$R$205,13,FALSE),""))</x:f>
      </x:c>
      <x:c r="O47" s="3"/>
    </x:row>
    <x:row r="48">
      <x:c r="A48" s="5"/>
      <x:c r="B48" s="3" t="str"/>
      <x:c r="C48" s="3" t="str">
        <x:f>IF($B48="","",IFERROR(VLOOKUP($B48,Clinicas!$A$4:$R$205,2,FALSE),"ID nao cadastrado"))</x:f>
      </x:c>
      <x:c r="D48" s="3" t="str">
        <x:f>IF($B48="","",IFERROR(VLOOKUP($B48,Clinicas!$A$4:$R$205,4,FALSE),""))</x:f>
      </x:c>
      <x:c r="E48" s="3" t="str"/>
      <x:c r="F48" s="6" t="str"/>
      <x:c r="G48" s="6" t="str">
        <x:f>IF(OR($E48="",$F48=""),"",$F48/$E48)</x:f>
      </x:c>
      <x:c r="H48" s="3" t="str">
        <x:v>Exames de ultrassonografia veterinaria</x:v>
      </x:c>
      <x:c r="I48" s="3" t="str">
        <x:f>IF($A48="","",$H48&amp;" - "&amp;$E48&amp;" exame(s) realizado(s) em "&amp;TEXT($A48,"dd/mm/yyyy")&amp;". Valor referente ao Pix recebido em "&amp;TEXT($A48,"dd/mm/yyyy")&amp;".")</x:f>
      </x:c>
      <x:c r="J48" s="5" t="str">
        <x:f>IF($A48="","",$A48)</x:f>
      </x:c>
      <x:c r="K48" s="3" t="str"/>
      <x:c r="L48" s="3"/>
      <x:c r="M48" s="3" t="str">
        <x:f>IF($B48="","",IFERROR(VLOOKUP($B48,Clinicas!$A$4:$R$205,16,FALSE),"Confirmar"))</x:f>
      </x:c>
      <x:c r="N48" s="3" t="str">
        <x:f>IF($B48="","",IFERROR(VLOOKUP($B48,Clinicas!$A$4:$R$205,13,FALSE),""))</x:f>
      </x:c>
      <x:c r="O48" s="3"/>
    </x:row>
    <x:row r="49">
      <x:c r="A49" s="5"/>
      <x:c r="B49" s="3" t="str"/>
      <x:c r="C49" s="3" t="str">
        <x:f>IF($B49="","",IFERROR(VLOOKUP($B49,Clinicas!$A$4:$R$205,2,FALSE),"ID nao cadastrado"))</x:f>
      </x:c>
      <x:c r="D49" s="3" t="str">
        <x:f>IF($B49="","",IFERROR(VLOOKUP($B49,Clinicas!$A$4:$R$205,4,FALSE),""))</x:f>
      </x:c>
      <x:c r="E49" s="3" t="str"/>
      <x:c r="F49" s="6" t="str"/>
      <x:c r="G49" s="6" t="str">
        <x:f>IF(OR($E49="",$F49=""),"",$F49/$E49)</x:f>
      </x:c>
      <x:c r="H49" s="3" t="str">
        <x:v>Exames de ultrassonografia veterinaria</x:v>
      </x:c>
      <x:c r="I49" s="3" t="str">
        <x:f>IF($A49="","",$H49&amp;" - "&amp;$E49&amp;" exame(s) realizado(s) em "&amp;TEXT($A49,"dd/mm/yyyy")&amp;". Valor referente ao Pix recebido em "&amp;TEXT($A49,"dd/mm/yyyy")&amp;".")</x:f>
      </x:c>
      <x:c r="J49" s="5" t="str">
        <x:f>IF($A49="","",$A49)</x:f>
      </x:c>
      <x:c r="K49" s="3" t="str"/>
      <x:c r="L49" s="3"/>
      <x:c r="M49" s="3" t="str">
        <x:f>IF($B49="","",IFERROR(VLOOKUP($B49,Clinicas!$A$4:$R$205,16,FALSE),"Confirmar"))</x:f>
      </x:c>
      <x:c r="N49" s="3" t="str">
        <x:f>IF($B49="","",IFERROR(VLOOKUP($B49,Clinicas!$A$4:$R$205,13,FALSE),""))</x:f>
      </x:c>
      <x:c r="O49" s="3"/>
    </x:row>
    <x:row r="50">
      <x:c r="A50" s="5"/>
      <x:c r="B50" s="3" t="str"/>
      <x:c r="C50" s="3" t="str">
        <x:f>IF($B50="","",IFERROR(VLOOKUP($B50,Clinicas!$A$4:$R$205,2,FALSE),"ID nao cadastrado"))</x:f>
      </x:c>
      <x:c r="D50" s="3" t="str">
        <x:f>IF($B50="","",IFERROR(VLOOKUP($B50,Clinicas!$A$4:$R$205,4,FALSE),""))</x:f>
      </x:c>
      <x:c r="E50" s="3" t="str"/>
      <x:c r="F50" s="6" t="str"/>
      <x:c r="G50" s="6" t="str">
        <x:f>IF(OR($E50="",$F50=""),"",$F50/$E50)</x:f>
      </x:c>
      <x:c r="H50" s="3" t="str">
        <x:v>Exames de ultrassonografia veterinaria</x:v>
      </x:c>
      <x:c r="I50" s="3" t="str">
        <x:f>IF($A50="","",$H50&amp;" - "&amp;$E50&amp;" exame(s) realizado(s) em "&amp;TEXT($A50,"dd/mm/yyyy")&amp;". Valor referente ao Pix recebido em "&amp;TEXT($A50,"dd/mm/yyyy")&amp;".")</x:f>
      </x:c>
      <x:c r="J50" s="5" t="str">
        <x:f>IF($A50="","",$A50)</x:f>
      </x:c>
      <x:c r="K50" s="3" t="str"/>
      <x:c r="L50" s="3"/>
      <x:c r="M50" s="3" t="str">
        <x:f>IF($B50="","",IFERROR(VLOOKUP($B50,Clinicas!$A$4:$R$205,16,FALSE),"Confirmar"))</x:f>
      </x:c>
      <x:c r="N50" s="3" t="str">
        <x:f>IF($B50="","",IFERROR(VLOOKUP($B50,Clinicas!$A$4:$R$205,13,FALSE),""))</x:f>
      </x:c>
      <x:c r="O50" s="3"/>
    </x:row>
    <x:row r="51">
      <x:c r="A51" s="5"/>
      <x:c r="B51" s="3" t="str"/>
      <x:c r="C51" s="3" t="str">
        <x:f>IF($B51="","",IFERROR(VLOOKUP($B51,Clinicas!$A$4:$R$205,2,FALSE),"ID nao cadastrado"))</x:f>
      </x:c>
      <x:c r="D51" s="3" t="str">
        <x:f>IF($B51="","",IFERROR(VLOOKUP($B51,Clinicas!$A$4:$R$205,4,FALSE),""))</x:f>
      </x:c>
      <x:c r="E51" s="3" t="str"/>
      <x:c r="F51" s="6" t="str"/>
      <x:c r="G51" s="6" t="str">
        <x:f>IF(OR($E51="",$F51=""),"",$F51/$E51)</x:f>
      </x:c>
      <x:c r="H51" s="3" t="str">
        <x:v>Exames de ultrassonografia veterinaria</x:v>
      </x:c>
      <x:c r="I51" s="3" t="str">
        <x:f>IF($A51="","",$H51&amp;" - "&amp;$E51&amp;" exame(s) realizado(s) em "&amp;TEXT($A51,"dd/mm/yyyy")&amp;". Valor referente ao Pix recebido em "&amp;TEXT($A51,"dd/mm/yyyy")&amp;".")</x:f>
      </x:c>
      <x:c r="J51" s="5" t="str">
        <x:f>IF($A51="","",$A51)</x:f>
      </x:c>
      <x:c r="K51" s="3" t="str"/>
      <x:c r="L51" s="3"/>
      <x:c r="M51" s="3" t="str">
        <x:f>IF($B51="","",IFERROR(VLOOKUP($B51,Clinicas!$A$4:$R$205,16,FALSE),"Confirmar"))</x:f>
      </x:c>
      <x:c r="N51" s="3" t="str">
        <x:f>IF($B51="","",IFERROR(VLOOKUP($B51,Clinicas!$A$4:$R$205,13,FALSE),""))</x:f>
      </x:c>
      <x:c r="O51" s="3"/>
    </x:row>
    <x:row r="52">
      <x:c r="A52" s="5"/>
      <x:c r="B52" s="3" t="str"/>
      <x:c r="C52" s="3" t="str">
        <x:f>IF($B52="","",IFERROR(VLOOKUP($B52,Clinicas!$A$4:$R$205,2,FALSE),"ID nao cadastrado"))</x:f>
      </x:c>
      <x:c r="D52" s="3" t="str">
        <x:f>IF($B52="","",IFERROR(VLOOKUP($B52,Clinicas!$A$4:$R$205,4,FALSE),""))</x:f>
      </x:c>
      <x:c r="E52" s="3" t="str"/>
      <x:c r="F52" s="6" t="str"/>
      <x:c r="G52" s="6" t="str">
        <x:f>IF(OR($E52="",$F52=""),"",$F52/$E52)</x:f>
      </x:c>
      <x:c r="H52" s="3" t="str">
        <x:v>Exames de ultrassonografia veterinaria</x:v>
      </x:c>
      <x:c r="I52" s="3" t="str">
        <x:f>IF($A52="","",$H52&amp;" - "&amp;$E52&amp;" exame(s) realizado(s) em "&amp;TEXT($A52,"dd/mm/yyyy")&amp;". Valor referente ao Pix recebido em "&amp;TEXT($A52,"dd/mm/yyyy")&amp;".")</x:f>
      </x:c>
      <x:c r="J52" s="5" t="str">
        <x:f>IF($A52="","",$A52)</x:f>
      </x:c>
      <x:c r="K52" s="3" t="str"/>
      <x:c r="L52" s="3"/>
      <x:c r="M52" s="3" t="str">
        <x:f>IF($B52="","",IFERROR(VLOOKUP($B52,Clinicas!$A$4:$R$205,16,FALSE),"Confirmar"))</x:f>
      </x:c>
      <x:c r="N52" s="3" t="str">
        <x:f>IF($B52="","",IFERROR(VLOOKUP($B52,Clinicas!$A$4:$R$205,13,FALSE),""))</x:f>
      </x:c>
      <x:c r="O52" s="3"/>
    </x:row>
    <x:row r="53">
      <x:c r="A53" s="5"/>
      <x:c r="B53" s="3" t="str"/>
      <x:c r="C53" s="3" t="str">
        <x:f>IF($B53="","",IFERROR(VLOOKUP($B53,Clinicas!$A$4:$R$205,2,FALSE),"ID nao cadastrado"))</x:f>
      </x:c>
      <x:c r="D53" s="3" t="str">
        <x:f>IF($B53="","",IFERROR(VLOOKUP($B53,Clinicas!$A$4:$R$205,4,FALSE),""))</x:f>
      </x:c>
      <x:c r="E53" s="3" t="str"/>
      <x:c r="F53" s="6" t="str"/>
      <x:c r="G53" s="6" t="str">
        <x:f>IF(OR($E53="",$F53=""),"",$F53/$E53)</x:f>
      </x:c>
      <x:c r="H53" s="3" t="str">
        <x:v>Exames de ultrassonografia veterinaria</x:v>
      </x:c>
      <x:c r="I53" s="3" t="str">
        <x:f>IF($A53="","",$H53&amp;" - "&amp;$E53&amp;" exame(s) realizado(s) em "&amp;TEXT($A53,"dd/mm/yyyy")&amp;". Valor referente ao Pix recebido em "&amp;TEXT($A53,"dd/mm/yyyy")&amp;".")</x:f>
      </x:c>
      <x:c r="J53" s="5" t="str">
        <x:f>IF($A53="","",$A53)</x:f>
      </x:c>
      <x:c r="K53" s="3" t="str"/>
      <x:c r="L53" s="3"/>
      <x:c r="M53" s="3" t="str">
        <x:f>IF($B53="","",IFERROR(VLOOKUP($B53,Clinicas!$A$4:$R$205,16,FALSE),"Confirmar"))</x:f>
      </x:c>
      <x:c r="N53" s="3" t="str">
        <x:f>IF($B53="","",IFERROR(VLOOKUP($B53,Clinicas!$A$4:$R$205,13,FALSE),""))</x:f>
      </x:c>
      <x:c r="O53" s="3"/>
    </x:row>
    <x:row r="54">
      <x:c r="A54" s="5"/>
      <x:c r="B54" s="3" t="str"/>
      <x:c r="C54" s="3" t="str">
        <x:f>IF($B54="","",IFERROR(VLOOKUP($B54,Clinicas!$A$4:$R$205,2,FALSE),"ID nao cadastrado"))</x:f>
      </x:c>
      <x:c r="D54" s="3" t="str">
        <x:f>IF($B54="","",IFERROR(VLOOKUP($B54,Clinicas!$A$4:$R$205,4,FALSE),""))</x:f>
      </x:c>
      <x:c r="E54" s="3" t="str"/>
      <x:c r="F54" s="6" t="str"/>
      <x:c r="G54" s="6" t="str">
        <x:f>IF(OR($E54="",$F54=""),"",$F54/$E54)</x:f>
      </x:c>
      <x:c r="H54" s="3" t="str">
        <x:v>Exames de ultrassonografia veterinaria</x:v>
      </x:c>
      <x:c r="I54" s="3" t="str">
        <x:f>IF($A54="","",$H54&amp;" - "&amp;$E54&amp;" exame(s) realizado(s) em "&amp;TEXT($A54,"dd/mm/yyyy")&amp;". Valor referente ao Pix recebido em "&amp;TEXT($A54,"dd/mm/yyyy")&amp;".")</x:f>
      </x:c>
      <x:c r="J54" s="5" t="str">
        <x:f>IF($A54="","",$A54)</x:f>
      </x:c>
      <x:c r="K54" s="3" t="str"/>
      <x:c r="L54" s="3"/>
      <x:c r="M54" s="3" t="str">
        <x:f>IF($B54="","",IFERROR(VLOOKUP($B54,Clinicas!$A$4:$R$205,16,FALSE),"Confirmar"))</x:f>
      </x:c>
      <x:c r="N54" s="3" t="str">
        <x:f>IF($B54="","",IFERROR(VLOOKUP($B54,Clinicas!$A$4:$R$205,13,FALSE),""))</x:f>
      </x:c>
      <x:c r="O54" s="3"/>
    </x:row>
    <x:row r="55">
      <x:c r="A55" s="5"/>
      <x:c r="B55" s="3" t="str"/>
      <x:c r="C55" s="3" t="str">
        <x:f>IF($B55="","",IFERROR(VLOOKUP($B55,Clinicas!$A$4:$R$205,2,FALSE),"ID nao cadastrado"))</x:f>
      </x:c>
      <x:c r="D55" s="3" t="str">
        <x:f>IF($B55="","",IFERROR(VLOOKUP($B55,Clinicas!$A$4:$R$205,4,FALSE),""))</x:f>
      </x:c>
      <x:c r="E55" s="3" t="str"/>
      <x:c r="F55" s="6" t="str"/>
      <x:c r="G55" s="6" t="str">
        <x:f>IF(OR($E55="",$F55=""),"",$F55/$E55)</x:f>
      </x:c>
      <x:c r="H55" s="3" t="str">
        <x:v>Exames de ultrassonografia veterinaria</x:v>
      </x:c>
      <x:c r="I55" s="3" t="str">
        <x:f>IF($A55="","",$H55&amp;" - "&amp;$E55&amp;" exame(s) realizado(s) em "&amp;TEXT($A55,"dd/mm/yyyy")&amp;". Valor referente ao Pix recebido em "&amp;TEXT($A55,"dd/mm/yyyy")&amp;".")</x:f>
      </x:c>
      <x:c r="J55" s="5" t="str">
        <x:f>IF($A55="","",$A55)</x:f>
      </x:c>
      <x:c r="K55" s="3" t="str"/>
      <x:c r="L55" s="3"/>
      <x:c r="M55" s="3" t="str">
        <x:f>IF($B55="","",IFERROR(VLOOKUP($B55,Clinicas!$A$4:$R$205,16,FALSE),"Confirmar"))</x:f>
      </x:c>
      <x:c r="N55" s="3" t="str">
        <x:f>IF($B55="","",IFERROR(VLOOKUP($B55,Clinicas!$A$4:$R$205,13,FALSE),""))</x:f>
      </x:c>
      <x:c r="O55" s="3"/>
    </x:row>
    <x:row r="56">
      <x:c r="A56" s="5"/>
      <x:c r="B56" s="3" t="str"/>
      <x:c r="C56" s="3" t="str">
        <x:f>IF($B56="","",IFERROR(VLOOKUP($B56,Clinicas!$A$4:$R$205,2,FALSE),"ID nao cadastrado"))</x:f>
      </x:c>
      <x:c r="D56" s="3" t="str">
        <x:f>IF($B56="","",IFERROR(VLOOKUP($B56,Clinicas!$A$4:$R$205,4,FALSE),""))</x:f>
      </x:c>
      <x:c r="E56" s="3" t="str"/>
      <x:c r="F56" s="6" t="str"/>
      <x:c r="G56" s="6" t="str">
        <x:f>IF(OR($E56="",$F56=""),"",$F56/$E56)</x:f>
      </x:c>
      <x:c r="H56" s="3" t="str">
        <x:v>Exames de ultrassonografia veterinaria</x:v>
      </x:c>
      <x:c r="I56" s="3" t="str">
        <x:f>IF($A56="","",$H56&amp;" - "&amp;$E56&amp;" exame(s) realizado(s) em "&amp;TEXT($A56,"dd/mm/yyyy")&amp;". Valor referente ao Pix recebido em "&amp;TEXT($A56,"dd/mm/yyyy")&amp;".")</x:f>
      </x:c>
      <x:c r="J56" s="5" t="str">
        <x:f>IF($A56="","",$A56)</x:f>
      </x:c>
      <x:c r="K56" s="3" t="str"/>
      <x:c r="L56" s="3"/>
      <x:c r="M56" s="3" t="str">
        <x:f>IF($B56="","",IFERROR(VLOOKUP($B56,Clinicas!$A$4:$R$205,16,FALSE),"Confirmar"))</x:f>
      </x:c>
      <x:c r="N56" s="3" t="str">
        <x:f>IF($B56="","",IFERROR(VLOOKUP($B56,Clinicas!$A$4:$R$205,13,FALSE),""))</x:f>
      </x:c>
      <x:c r="O56" s="3"/>
    </x:row>
    <x:row r="57">
      <x:c r="A57" s="5"/>
      <x:c r="B57" s="3" t="str"/>
      <x:c r="C57" s="3" t="str">
        <x:f>IF($B57="","",IFERROR(VLOOKUP($B57,Clinicas!$A$4:$R$205,2,FALSE),"ID nao cadastrado"))</x:f>
      </x:c>
      <x:c r="D57" s="3" t="str">
        <x:f>IF($B57="","",IFERROR(VLOOKUP($B57,Clinicas!$A$4:$R$205,4,FALSE),""))</x:f>
      </x:c>
      <x:c r="E57" s="3" t="str"/>
      <x:c r="F57" s="6" t="str"/>
      <x:c r="G57" s="6" t="str">
        <x:f>IF(OR($E57="",$F57=""),"",$F57/$E57)</x:f>
      </x:c>
      <x:c r="H57" s="3" t="str">
        <x:v>Exames de ultrassonografia veterinaria</x:v>
      </x:c>
      <x:c r="I57" s="3" t="str">
        <x:f>IF($A57="","",$H57&amp;" - "&amp;$E57&amp;" exame(s) realizado(s) em "&amp;TEXT($A57,"dd/mm/yyyy")&amp;". Valor referente ao Pix recebido em "&amp;TEXT($A57,"dd/mm/yyyy")&amp;".")</x:f>
      </x:c>
      <x:c r="J57" s="5" t="str">
        <x:f>IF($A57="","",$A57)</x:f>
      </x:c>
      <x:c r="K57" s="3" t="str"/>
      <x:c r="L57" s="3"/>
      <x:c r="M57" s="3" t="str">
        <x:f>IF($B57="","",IFERROR(VLOOKUP($B57,Clinicas!$A$4:$R$205,16,FALSE),"Confirmar"))</x:f>
      </x:c>
      <x:c r="N57" s="3" t="str">
        <x:f>IF($B57="","",IFERROR(VLOOKUP($B57,Clinicas!$A$4:$R$205,13,FALSE),""))</x:f>
      </x:c>
      <x:c r="O57" s="3"/>
    </x:row>
    <x:row r="58">
      <x:c r="A58" s="5"/>
      <x:c r="B58" s="3" t="str"/>
      <x:c r="C58" s="3" t="str">
        <x:f>IF($B58="","",IFERROR(VLOOKUP($B58,Clinicas!$A$4:$R$205,2,FALSE),"ID nao cadastrado"))</x:f>
      </x:c>
      <x:c r="D58" s="3" t="str">
        <x:f>IF($B58="","",IFERROR(VLOOKUP($B58,Clinicas!$A$4:$R$205,4,FALSE),""))</x:f>
      </x:c>
      <x:c r="E58" s="3" t="str"/>
      <x:c r="F58" s="6" t="str"/>
      <x:c r="G58" s="6" t="str">
        <x:f>IF(OR($E58="",$F58=""),"",$F58/$E58)</x:f>
      </x:c>
      <x:c r="H58" s="3" t="str">
        <x:v>Exames de ultrassonografia veterinaria</x:v>
      </x:c>
      <x:c r="I58" s="3" t="str">
        <x:f>IF($A58="","",$H58&amp;" - "&amp;$E58&amp;" exame(s) realizado(s) em "&amp;TEXT($A58,"dd/mm/yyyy")&amp;". Valor referente ao Pix recebido em "&amp;TEXT($A58,"dd/mm/yyyy")&amp;".")</x:f>
      </x:c>
      <x:c r="J58" s="5" t="str">
        <x:f>IF($A58="","",$A58)</x:f>
      </x:c>
      <x:c r="K58" s="3" t="str"/>
      <x:c r="L58" s="3"/>
      <x:c r="M58" s="3" t="str">
        <x:f>IF($B58="","",IFERROR(VLOOKUP($B58,Clinicas!$A$4:$R$205,16,FALSE),"Confirmar"))</x:f>
      </x:c>
      <x:c r="N58" s="3" t="str">
        <x:f>IF($B58="","",IFERROR(VLOOKUP($B58,Clinicas!$A$4:$R$205,13,FALSE),""))</x:f>
      </x:c>
      <x:c r="O58" s="3"/>
    </x:row>
    <x:row r="59">
      <x:c r="A59" s="5"/>
      <x:c r="B59" s="3" t="str"/>
      <x:c r="C59" s="3" t="str">
        <x:f>IF($B59="","",IFERROR(VLOOKUP($B59,Clinicas!$A$4:$R$205,2,FALSE),"ID nao cadastrado"))</x:f>
      </x:c>
      <x:c r="D59" s="3" t="str">
        <x:f>IF($B59="","",IFERROR(VLOOKUP($B59,Clinicas!$A$4:$R$205,4,FALSE),""))</x:f>
      </x:c>
      <x:c r="E59" s="3" t="str"/>
      <x:c r="F59" s="6" t="str"/>
      <x:c r="G59" s="6" t="str">
        <x:f>IF(OR($E59="",$F59=""),"",$F59/$E59)</x:f>
      </x:c>
      <x:c r="H59" s="3" t="str">
        <x:v>Exames de ultrassonografia veterinaria</x:v>
      </x:c>
      <x:c r="I59" s="3" t="str">
        <x:f>IF($A59="","",$H59&amp;" - "&amp;$E59&amp;" exame(s) realizado(s) em "&amp;TEXT($A59,"dd/mm/yyyy")&amp;". Valor referente ao Pix recebido em "&amp;TEXT($A59,"dd/mm/yyyy")&amp;".")</x:f>
      </x:c>
      <x:c r="J59" s="5" t="str">
        <x:f>IF($A59="","",$A59)</x:f>
      </x:c>
      <x:c r="K59" s="3" t="str"/>
      <x:c r="L59" s="3"/>
      <x:c r="M59" s="3" t="str">
        <x:f>IF($B59="","",IFERROR(VLOOKUP($B59,Clinicas!$A$4:$R$205,16,FALSE),"Confirmar"))</x:f>
      </x:c>
      <x:c r="N59" s="3" t="str">
        <x:f>IF($B59="","",IFERROR(VLOOKUP($B59,Clinicas!$A$4:$R$205,13,FALSE),""))</x:f>
      </x:c>
      <x:c r="O59" s="3"/>
    </x:row>
    <x:row r="60">
      <x:c r="A60" s="5"/>
      <x:c r="B60" s="3" t="str"/>
      <x:c r="C60" s="3" t="str">
        <x:f>IF($B60="","",IFERROR(VLOOKUP($B60,Clinicas!$A$4:$R$205,2,FALSE),"ID nao cadastrado"))</x:f>
      </x:c>
      <x:c r="D60" s="3" t="str">
        <x:f>IF($B60="","",IFERROR(VLOOKUP($B60,Clinicas!$A$4:$R$205,4,FALSE),""))</x:f>
      </x:c>
      <x:c r="E60" s="3" t="str"/>
      <x:c r="F60" s="6" t="str"/>
      <x:c r="G60" s="6" t="str">
        <x:f>IF(OR($E60="",$F60=""),"",$F60/$E60)</x:f>
      </x:c>
      <x:c r="H60" s="3" t="str">
        <x:v>Exames de ultrassonografia veterinaria</x:v>
      </x:c>
      <x:c r="I60" s="3" t="str">
        <x:f>IF($A60="","",$H60&amp;" - "&amp;$E60&amp;" exame(s) realizado(s) em "&amp;TEXT($A60,"dd/mm/yyyy")&amp;". Valor referente ao Pix recebido em "&amp;TEXT($A60,"dd/mm/yyyy")&amp;".")</x:f>
      </x:c>
      <x:c r="J60" s="5" t="str">
        <x:f>IF($A60="","",$A60)</x:f>
      </x:c>
      <x:c r="K60" s="3" t="str"/>
      <x:c r="L60" s="3"/>
      <x:c r="M60" s="3" t="str">
        <x:f>IF($B60="","",IFERROR(VLOOKUP($B60,Clinicas!$A$4:$R$205,16,FALSE),"Confirmar"))</x:f>
      </x:c>
      <x:c r="N60" s="3" t="str">
        <x:f>IF($B60="","",IFERROR(VLOOKUP($B60,Clinicas!$A$4:$R$205,13,FALSE),""))</x:f>
      </x:c>
      <x:c r="O60" s="3"/>
    </x:row>
    <x:row r="61">
      <x:c r="A61" s="5"/>
      <x:c r="B61" s="3" t="str"/>
      <x:c r="C61" s="3" t="str">
        <x:f>IF($B61="","",IFERROR(VLOOKUP($B61,Clinicas!$A$4:$R$205,2,FALSE),"ID nao cadastrado"))</x:f>
      </x:c>
      <x:c r="D61" s="3" t="str">
        <x:f>IF($B61="","",IFERROR(VLOOKUP($B61,Clinicas!$A$4:$R$205,4,FALSE),""))</x:f>
      </x:c>
      <x:c r="E61" s="3" t="str"/>
      <x:c r="F61" s="6" t="str"/>
      <x:c r="G61" s="6" t="str">
        <x:f>IF(OR($E61="",$F61=""),"",$F61/$E61)</x:f>
      </x:c>
      <x:c r="H61" s="3" t="str">
        <x:v>Exames de ultrassonografia veterinaria</x:v>
      </x:c>
      <x:c r="I61" s="3" t="str">
        <x:f>IF($A61="","",$H61&amp;" - "&amp;$E61&amp;" exame(s) realizado(s) em "&amp;TEXT($A61,"dd/mm/yyyy")&amp;". Valor referente ao Pix recebido em "&amp;TEXT($A61,"dd/mm/yyyy")&amp;".")</x:f>
      </x:c>
      <x:c r="J61" s="5" t="str">
        <x:f>IF($A61="","",$A61)</x:f>
      </x:c>
      <x:c r="K61" s="3" t="str"/>
      <x:c r="L61" s="3"/>
      <x:c r="M61" s="3" t="str">
        <x:f>IF($B61="","",IFERROR(VLOOKUP($B61,Clinicas!$A$4:$R$205,16,FALSE),"Confirmar"))</x:f>
      </x:c>
      <x:c r="N61" s="3" t="str">
        <x:f>IF($B61="","",IFERROR(VLOOKUP($B61,Clinicas!$A$4:$R$205,13,FALSE),""))</x:f>
      </x:c>
      <x:c r="O61" s="3"/>
    </x:row>
    <x:row r="62">
      <x:c r="A62" s="5"/>
      <x:c r="B62" s="3" t="str"/>
      <x:c r="C62" s="3" t="str">
        <x:f>IF($B62="","",IFERROR(VLOOKUP($B62,Clinicas!$A$4:$R$205,2,FALSE),"ID nao cadastrado"))</x:f>
      </x:c>
      <x:c r="D62" s="3" t="str">
        <x:f>IF($B62="","",IFERROR(VLOOKUP($B62,Clinicas!$A$4:$R$205,4,FALSE),""))</x:f>
      </x:c>
      <x:c r="E62" s="3" t="str"/>
      <x:c r="F62" s="6" t="str"/>
      <x:c r="G62" s="6" t="str">
        <x:f>IF(OR($E62="",$F62=""),"",$F62/$E62)</x:f>
      </x:c>
      <x:c r="H62" s="3" t="str">
        <x:v>Exames de ultrassonografia veterinaria</x:v>
      </x:c>
      <x:c r="I62" s="3" t="str">
        <x:f>IF($A62="","",$H62&amp;" - "&amp;$E62&amp;" exame(s) realizado(s) em "&amp;TEXT($A62,"dd/mm/yyyy")&amp;". Valor referente ao Pix recebido em "&amp;TEXT($A62,"dd/mm/yyyy")&amp;".")</x:f>
      </x:c>
      <x:c r="J62" s="5" t="str">
        <x:f>IF($A62="","",$A62)</x:f>
      </x:c>
      <x:c r="K62" s="3" t="str"/>
      <x:c r="L62" s="3"/>
      <x:c r="M62" s="3" t="str">
        <x:f>IF($B62="","",IFERROR(VLOOKUP($B62,Clinicas!$A$4:$R$205,16,FALSE),"Confirmar"))</x:f>
      </x:c>
      <x:c r="N62" s="3" t="str">
        <x:f>IF($B62="","",IFERROR(VLOOKUP($B62,Clinicas!$A$4:$R$205,13,FALSE),""))</x:f>
      </x:c>
      <x:c r="O62" s="3"/>
    </x:row>
    <x:row r="63">
      <x:c r="A63" s="5"/>
      <x:c r="B63" s="3" t="str"/>
      <x:c r="C63" s="3" t="str">
        <x:f>IF($B63="","",IFERROR(VLOOKUP($B63,Clinicas!$A$4:$R$205,2,FALSE),"ID nao cadastrado"))</x:f>
      </x:c>
      <x:c r="D63" s="3" t="str">
        <x:f>IF($B63="","",IFERROR(VLOOKUP($B63,Clinicas!$A$4:$R$205,4,FALSE),""))</x:f>
      </x:c>
      <x:c r="E63" s="3" t="str"/>
      <x:c r="F63" s="6" t="str"/>
      <x:c r="G63" s="6" t="str">
        <x:f>IF(OR($E63="",$F63=""),"",$F63/$E63)</x:f>
      </x:c>
      <x:c r="H63" s="3" t="str">
        <x:v>Exames de ultrassonografia veterinaria</x:v>
      </x:c>
      <x:c r="I63" s="3" t="str">
        <x:f>IF($A63="","",$H63&amp;" - "&amp;$E63&amp;" exame(s) realizado(s) em "&amp;TEXT($A63,"dd/mm/yyyy")&amp;". Valor referente ao Pix recebido em "&amp;TEXT($A63,"dd/mm/yyyy")&amp;".")</x:f>
      </x:c>
      <x:c r="J63" s="5" t="str">
        <x:f>IF($A63="","",$A63)</x:f>
      </x:c>
      <x:c r="K63" s="3" t="str"/>
      <x:c r="L63" s="3"/>
      <x:c r="M63" s="3" t="str">
        <x:f>IF($B63="","",IFERROR(VLOOKUP($B63,Clinicas!$A$4:$R$205,16,FALSE),"Confirmar"))</x:f>
      </x:c>
      <x:c r="N63" s="3" t="str">
        <x:f>IF($B63="","",IFERROR(VLOOKUP($B63,Clinicas!$A$4:$R$205,13,FALSE),""))</x:f>
      </x:c>
      <x:c r="O63" s="3"/>
    </x:row>
    <x:row r="64">
      <x:c r="A64" s="5"/>
      <x:c r="B64" s="3" t="str"/>
      <x:c r="C64" s="3" t="str">
        <x:f>IF($B64="","",IFERROR(VLOOKUP($B64,Clinicas!$A$4:$R$205,2,FALSE),"ID nao cadastrado"))</x:f>
      </x:c>
      <x:c r="D64" s="3" t="str">
        <x:f>IF($B64="","",IFERROR(VLOOKUP($B64,Clinicas!$A$4:$R$205,4,FALSE),""))</x:f>
      </x:c>
      <x:c r="E64" s="3" t="str"/>
      <x:c r="F64" s="6" t="str"/>
      <x:c r="G64" s="6" t="str">
        <x:f>IF(OR($E64="",$F64=""),"",$F64/$E64)</x:f>
      </x:c>
      <x:c r="H64" s="3" t="str">
        <x:v>Exames de ultrassonografia veterinaria</x:v>
      </x:c>
      <x:c r="I64" s="3" t="str">
        <x:f>IF($A64="","",$H64&amp;" - "&amp;$E64&amp;" exame(s) realizado(s) em "&amp;TEXT($A64,"dd/mm/yyyy")&amp;". Valor referente ao Pix recebido em "&amp;TEXT($A64,"dd/mm/yyyy")&amp;".")</x:f>
      </x:c>
      <x:c r="J64" s="5" t="str">
        <x:f>IF($A64="","",$A64)</x:f>
      </x:c>
      <x:c r="K64" s="3" t="str"/>
      <x:c r="L64" s="3"/>
      <x:c r="M64" s="3" t="str">
        <x:f>IF($B64="","",IFERROR(VLOOKUP($B64,Clinicas!$A$4:$R$205,16,FALSE),"Confirmar"))</x:f>
      </x:c>
      <x:c r="N64" s="3" t="str">
        <x:f>IF($B64="","",IFERROR(VLOOKUP($B64,Clinicas!$A$4:$R$205,13,FALSE),""))</x:f>
      </x:c>
      <x:c r="O64" s="3"/>
    </x:row>
    <x:row r="65">
      <x:c r="A65" s="5"/>
      <x:c r="B65" s="3" t="str"/>
      <x:c r="C65" s="3" t="str">
        <x:f>IF($B65="","",IFERROR(VLOOKUP($B65,Clinicas!$A$4:$R$205,2,FALSE),"ID nao cadastrado"))</x:f>
      </x:c>
      <x:c r="D65" s="3" t="str">
        <x:f>IF($B65="","",IFERROR(VLOOKUP($B65,Clinicas!$A$4:$R$205,4,FALSE),""))</x:f>
      </x:c>
      <x:c r="E65" s="3" t="str"/>
      <x:c r="F65" s="6" t="str"/>
      <x:c r="G65" s="6" t="str">
        <x:f>IF(OR($E65="",$F65=""),"",$F65/$E65)</x:f>
      </x:c>
      <x:c r="H65" s="3" t="str">
        <x:v>Exames de ultrassonografia veterinaria</x:v>
      </x:c>
      <x:c r="I65" s="3" t="str">
        <x:f>IF($A65="","",$H65&amp;" - "&amp;$E65&amp;" exame(s) realizado(s) em "&amp;TEXT($A65,"dd/mm/yyyy")&amp;". Valor referente ao Pix recebido em "&amp;TEXT($A65,"dd/mm/yyyy")&amp;".")</x:f>
      </x:c>
      <x:c r="J65" s="5" t="str">
        <x:f>IF($A65="","",$A65)</x:f>
      </x:c>
      <x:c r="K65" s="3" t="str"/>
      <x:c r="L65" s="3"/>
      <x:c r="M65" s="3" t="str">
        <x:f>IF($B65="","",IFERROR(VLOOKUP($B65,Clinicas!$A$4:$R$205,16,FALSE),"Confirmar"))</x:f>
      </x:c>
      <x:c r="N65" s="3" t="str">
        <x:f>IF($B65="","",IFERROR(VLOOKUP($B65,Clinicas!$A$4:$R$205,13,FALSE),""))</x:f>
      </x:c>
      <x:c r="O65" s="3"/>
    </x:row>
    <x:row r="66">
      <x:c r="A66" s="5"/>
      <x:c r="B66" s="3" t="str"/>
      <x:c r="C66" s="3" t="str">
        <x:f>IF($B66="","",IFERROR(VLOOKUP($B66,Clinicas!$A$4:$R$205,2,FALSE),"ID nao cadastrado"))</x:f>
      </x:c>
      <x:c r="D66" s="3" t="str">
        <x:f>IF($B66="","",IFERROR(VLOOKUP($B66,Clinicas!$A$4:$R$205,4,FALSE),""))</x:f>
      </x:c>
      <x:c r="E66" s="3" t="str"/>
      <x:c r="F66" s="6" t="str"/>
      <x:c r="G66" s="6" t="str">
        <x:f>IF(OR($E66="",$F66=""),"",$F66/$E66)</x:f>
      </x:c>
      <x:c r="H66" s="3" t="str">
        <x:v>Exames de ultrassonografia veterinaria</x:v>
      </x:c>
      <x:c r="I66" s="3" t="str">
        <x:f>IF($A66="","",$H66&amp;" - "&amp;$E66&amp;" exame(s) realizado(s) em "&amp;TEXT($A66,"dd/mm/yyyy")&amp;". Valor referente ao Pix recebido em "&amp;TEXT($A66,"dd/mm/yyyy")&amp;".")</x:f>
      </x:c>
      <x:c r="J66" s="5" t="str">
        <x:f>IF($A66="","",$A66)</x:f>
      </x:c>
      <x:c r="K66" s="3" t="str"/>
      <x:c r="L66" s="3"/>
      <x:c r="M66" s="3" t="str">
        <x:f>IF($B66="","",IFERROR(VLOOKUP($B66,Clinicas!$A$4:$R$205,16,FALSE),"Confirmar"))</x:f>
      </x:c>
      <x:c r="N66" s="3" t="str">
        <x:f>IF($B66="","",IFERROR(VLOOKUP($B66,Clinicas!$A$4:$R$205,13,FALSE),""))</x:f>
      </x:c>
      <x:c r="O66" s="3"/>
    </x:row>
    <x:row r="67">
      <x:c r="A67" s="5"/>
      <x:c r="B67" s="3" t="str"/>
      <x:c r="C67" s="3" t="str">
        <x:f>IF($B67="","",IFERROR(VLOOKUP($B67,Clinicas!$A$4:$R$205,2,FALSE),"ID nao cadastrado"))</x:f>
      </x:c>
      <x:c r="D67" s="3" t="str">
        <x:f>IF($B67="","",IFERROR(VLOOKUP($B67,Clinicas!$A$4:$R$205,4,FALSE),""))</x:f>
      </x:c>
      <x:c r="E67" s="3" t="str"/>
      <x:c r="F67" s="6" t="str"/>
      <x:c r="G67" s="6" t="str">
        <x:f>IF(OR($E67="",$F67=""),"",$F67/$E67)</x:f>
      </x:c>
      <x:c r="H67" s="3" t="str">
        <x:v>Exames de ultrassonografia veterinaria</x:v>
      </x:c>
      <x:c r="I67" s="3" t="str">
        <x:f>IF($A67="","",$H67&amp;" - "&amp;$E67&amp;" exame(s) realizado(s) em "&amp;TEXT($A67,"dd/mm/yyyy")&amp;". Valor referente ao Pix recebido em "&amp;TEXT($A67,"dd/mm/yyyy")&amp;".")</x:f>
      </x:c>
      <x:c r="J67" s="5" t="str">
        <x:f>IF($A67="","",$A67)</x:f>
      </x:c>
      <x:c r="K67" s="3" t="str"/>
      <x:c r="L67" s="3"/>
      <x:c r="M67" s="3" t="str">
        <x:f>IF($B67="","",IFERROR(VLOOKUP($B67,Clinicas!$A$4:$R$205,16,FALSE),"Confirmar"))</x:f>
      </x:c>
      <x:c r="N67" s="3" t="str">
        <x:f>IF($B67="","",IFERROR(VLOOKUP($B67,Clinicas!$A$4:$R$205,13,FALSE),""))</x:f>
      </x:c>
      <x:c r="O67" s="3"/>
    </x:row>
    <x:row r="68">
      <x:c r="A68" s="5"/>
      <x:c r="B68" s="3" t="str"/>
      <x:c r="C68" s="3" t="str">
        <x:f>IF($B68="","",IFERROR(VLOOKUP($B68,Clinicas!$A$4:$R$205,2,FALSE),"ID nao cadastrado"))</x:f>
      </x:c>
      <x:c r="D68" s="3" t="str">
        <x:f>IF($B68="","",IFERROR(VLOOKUP($B68,Clinicas!$A$4:$R$205,4,FALSE),""))</x:f>
      </x:c>
      <x:c r="E68" s="3" t="str"/>
      <x:c r="F68" s="6" t="str"/>
      <x:c r="G68" s="6" t="str">
        <x:f>IF(OR($E68="",$F68=""),"",$F68/$E68)</x:f>
      </x:c>
      <x:c r="H68" s="3" t="str">
        <x:v>Exames de ultrassonografia veterinaria</x:v>
      </x:c>
      <x:c r="I68" s="3" t="str">
        <x:f>IF($A68="","",$H68&amp;" - "&amp;$E68&amp;" exame(s) realizado(s) em "&amp;TEXT($A68,"dd/mm/yyyy")&amp;". Valor referente ao Pix recebido em "&amp;TEXT($A68,"dd/mm/yyyy")&amp;".")</x:f>
      </x:c>
      <x:c r="J68" s="5" t="str">
        <x:f>IF($A68="","",$A68)</x:f>
      </x:c>
      <x:c r="K68" s="3" t="str"/>
      <x:c r="L68" s="3"/>
      <x:c r="M68" s="3" t="str">
        <x:f>IF($B68="","",IFERROR(VLOOKUP($B68,Clinicas!$A$4:$R$205,16,FALSE),"Confirmar"))</x:f>
      </x:c>
      <x:c r="N68" s="3" t="str">
        <x:f>IF($B68="","",IFERROR(VLOOKUP($B68,Clinicas!$A$4:$R$205,13,FALSE),""))</x:f>
      </x:c>
      <x:c r="O68" s="3"/>
    </x:row>
    <x:row r="69">
      <x:c r="A69" s="5"/>
      <x:c r="B69" s="3" t="str"/>
      <x:c r="C69" s="3" t="str">
        <x:f>IF($B69="","",IFERROR(VLOOKUP($B69,Clinicas!$A$4:$R$205,2,FALSE),"ID nao cadastrado"))</x:f>
      </x:c>
      <x:c r="D69" s="3" t="str">
        <x:f>IF($B69="","",IFERROR(VLOOKUP($B69,Clinicas!$A$4:$R$205,4,FALSE),""))</x:f>
      </x:c>
      <x:c r="E69" s="3" t="str"/>
      <x:c r="F69" s="6" t="str"/>
      <x:c r="G69" s="6" t="str">
        <x:f>IF(OR($E69="",$F69=""),"",$F69/$E69)</x:f>
      </x:c>
      <x:c r="H69" s="3" t="str">
        <x:v>Exames de ultrassonografia veterinaria</x:v>
      </x:c>
      <x:c r="I69" s="3" t="str">
        <x:f>IF($A69="","",$H69&amp;" - "&amp;$E69&amp;" exame(s) realizado(s) em "&amp;TEXT($A69,"dd/mm/yyyy")&amp;". Valor referente ao Pix recebido em "&amp;TEXT($A69,"dd/mm/yyyy")&amp;".")</x:f>
      </x:c>
      <x:c r="J69" s="5" t="str">
        <x:f>IF($A69="","",$A69)</x:f>
      </x:c>
      <x:c r="K69" s="3" t="str"/>
      <x:c r="L69" s="3"/>
      <x:c r="M69" s="3" t="str">
        <x:f>IF($B69="","",IFERROR(VLOOKUP($B69,Clinicas!$A$4:$R$205,16,FALSE),"Confirmar"))</x:f>
      </x:c>
      <x:c r="N69" s="3" t="str">
        <x:f>IF($B69="","",IFERROR(VLOOKUP($B69,Clinicas!$A$4:$R$205,13,FALSE),""))</x:f>
      </x:c>
      <x:c r="O69" s="3"/>
    </x:row>
    <x:row r="70">
      <x:c r="A70" s="5"/>
      <x:c r="B70" s="3" t="str"/>
      <x:c r="C70" s="3" t="str">
        <x:f>IF($B70="","",IFERROR(VLOOKUP($B70,Clinicas!$A$4:$R$205,2,FALSE),"ID nao cadastrado"))</x:f>
      </x:c>
      <x:c r="D70" s="3" t="str">
        <x:f>IF($B70="","",IFERROR(VLOOKUP($B70,Clinicas!$A$4:$R$205,4,FALSE),""))</x:f>
      </x:c>
      <x:c r="E70" s="3" t="str"/>
      <x:c r="F70" s="6" t="str"/>
      <x:c r="G70" s="6" t="str">
        <x:f>IF(OR($E70="",$F70=""),"",$F70/$E70)</x:f>
      </x:c>
      <x:c r="H70" s="3" t="str">
        <x:v>Exames de ultrassonografia veterinaria</x:v>
      </x:c>
      <x:c r="I70" s="3" t="str">
        <x:f>IF($A70="","",$H70&amp;" - "&amp;$E70&amp;" exame(s) realizado(s) em "&amp;TEXT($A70,"dd/mm/yyyy")&amp;". Valor referente ao Pix recebido em "&amp;TEXT($A70,"dd/mm/yyyy")&amp;".")</x:f>
      </x:c>
      <x:c r="J70" s="5" t="str">
        <x:f>IF($A70="","",$A70)</x:f>
      </x:c>
      <x:c r="K70" s="3" t="str"/>
      <x:c r="L70" s="3"/>
      <x:c r="M70" s="3" t="str">
        <x:f>IF($B70="","",IFERROR(VLOOKUP($B70,Clinicas!$A$4:$R$205,16,FALSE),"Confirmar"))</x:f>
      </x:c>
      <x:c r="N70" s="3" t="str">
        <x:f>IF($B70="","",IFERROR(VLOOKUP($B70,Clinicas!$A$4:$R$205,13,FALSE),""))</x:f>
      </x:c>
      <x:c r="O70" s="3"/>
    </x:row>
    <x:row r="71">
      <x:c r="A71" s="5"/>
      <x:c r="B71" s="3" t="str"/>
      <x:c r="C71" s="3" t="str">
        <x:f>IF($B71="","",IFERROR(VLOOKUP($B71,Clinicas!$A$4:$R$205,2,FALSE),"ID nao cadastrado"))</x:f>
      </x:c>
      <x:c r="D71" s="3" t="str">
        <x:f>IF($B71="","",IFERROR(VLOOKUP($B71,Clinicas!$A$4:$R$205,4,FALSE),""))</x:f>
      </x:c>
      <x:c r="E71" s="3" t="str"/>
      <x:c r="F71" s="6" t="str"/>
      <x:c r="G71" s="6" t="str">
        <x:f>IF(OR($E71="",$F71=""),"",$F71/$E71)</x:f>
      </x:c>
      <x:c r="H71" s="3" t="str">
        <x:v>Exames de ultrassonografia veterinaria</x:v>
      </x:c>
      <x:c r="I71" s="3" t="str">
        <x:f>IF($A71="","",$H71&amp;" - "&amp;$E71&amp;" exame(s) realizado(s) em "&amp;TEXT($A71,"dd/mm/yyyy")&amp;". Valor referente ao Pix recebido em "&amp;TEXT($A71,"dd/mm/yyyy")&amp;".")</x:f>
      </x:c>
      <x:c r="J71" s="5" t="str">
        <x:f>IF($A71="","",$A71)</x:f>
      </x:c>
      <x:c r="K71" s="3" t="str"/>
      <x:c r="L71" s="3"/>
      <x:c r="M71" s="3" t="str">
        <x:f>IF($B71="","",IFERROR(VLOOKUP($B71,Clinicas!$A$4:$R$205,16,FALSE),"Confirmar"))</x:f>
      </x:c>
      <x:c r="N71" s="3" t="str">
        <x:f>IF($B71="","",IFERROR(VLOOKUP($B71,Clinicas!$A$4:$R$205,13,FALSE),""))</x:f>
      </x:c>
      <x:c r="O71" s="3"/>
    </x:row>
    <x:row r="72">
      <x:c r="A72" s="5"/>
      <x:c r="B72" s="3" t="str"/>
      <x:c r="C72" s="3" t="str">
        <x:f>IF($B72="","",IFERROR(VLOOKUP($B72,Clinicas!$A$4:$R$205,2,FALSE),"ID nao cadastrado"))</x:f>
      </x:c>
      <x:c r="D72" s="3" t="str">
        <x:f>IF($B72="","",IFERROR(VLOOKUP($B72,Clinicas!$A$4:$R$205,4,FALSE),""))</x:f>
      </x:c>
      <x:c r="E72" s="3" t="str"/>
      <x:c r="F72" s="6" t="str"/>
      <x:c r="G72" s="6" t="str">
        <x:f>IF(OR($E72="",$F72=""),"",$F72/$E72)</x:f>
      </x:c>
      <x:c r="H72" s="3" t="str">
        <x:v>Exames de ultrassonografia veterinaria</x:v>
      </x:c>
      <x:c r="I72" s="3" t="str">
        <x:f>IF($A72="","",$H72&amp;" - "&amp;$E72&amp;" exame(s) realizado(s) em "&amp;TEXT($A72,"dd/mm/yyyy")&amp;". Valor referente ao Pix recebido em "&amp;TEXT($A72,"dd/mm/yyyy")&amp;".")</x:f>
      </x:c>
      <x:c r="J72" s="5" t="str">
        <x:f>IF($A72="","",$A72)</x:f>
      </x:c>
      <x:c r="K72" s="3" t="str"/>
      <x:c r="L72" s="3"/>
      <x:c r="M72" s="3" t="str">
        <x:f>IF($B72="","",IFERROR(VLOOKUP($B72,Clinicas!$A$4:$R$205,16,FALSE),"Confirmar"))</x:f>
      </x:c>
      <x:c r="N72" s="3" t="str">
        <x:f>IF($B72="","",IFERROR(VLOOKUP($B72,Clinicas!$A$4:$R$205,13,FALSE),""))</x:f>
      </x:c>
      <x:c r="O72" s="3"/>
    </x:row>
    <x:row r="73">
      <x:c r="A73" s="5"/>
      <x:c r="B73" s="3" t="str"/>
      <x:c r="C73" s="3" t="str">
        <x:f>IF($B73="","",IFERROR(VLOOKUP($B73,Clinicas!$A$4:$R$205,2,FALSE),"ID nao cadastrado"))</x:f>
      </x:c>
      <x:c r="D73" s="3" t="str">
        <x:f>IF($B73="","",IFERROR(VLOOKUP($B73,Clinicas!$A$4:$R$205,4,FALSE),""))</x:f>
      </x:c>
      <x:c r="E73" s="3" t="str"/>
      <x:c r="F73" s="6" t="str"/>
      <x:c r="G73" s="6" t="str">
        <x:f>IF(OR($E73="",$F73=""),"",$F73/$E73)</x:f>
      </x:c>
      <x:c r="H73" s="3" t="str">
        <x:v>Exames de ultrassonografia veterinaria</x:v>
      </x:c>
      <x:c r="I73" s="3" t="str">
        <x:f>IF($A73="","",$H73&amp;" - "&amp;$E73&amp;" exame(s) realizado(s) em "&amp;TEXT($A73,"dd/mm/yyyy")&amp;". Valor referente ao Pix recebido em "&amp;TEXT($A73,"dd/mm/yyyy")&amp;".")</x:f>
      </x:c>
      <x:c r="J73" s="5" t="str">
        <x:f>IF($A73="","",$A73)</x:f>
      </x:c>
      <x:c r="K73" s="3" t="str"/>
      <x:c r="L73" s="3"/>
      <x:c r="M73" s="3" t="str">
        <x:f>IF($B73="","",IFERROR(VLOOKUP($B73,Clinicas!$A$4:$R$205,16,FALSE),"Confirmar"))</x:f>
      </x:c>
      <x:c r="N73" s="3" t="str">
        <x:f>IF($B73="","",IFERROR(VLOOKUP($B73,Clinicas!$A$4:$R$205,13,FALSE),""))</x:f>
      </x:c>
      <x:c r="O73" s="3"/>
    </x:row>
    <x:row r="74">
      <x:c r="A74" s="5"/>
      <x:c r="B74" s="3" t="str"/>
      <x:c r="C74" s="3" t="str">
        <x:f>IF($B74="","",IFERROR(VLOOKUP($B74,Clinicas!$A$4:$R$205,2,FALSE),"ID nao cadastrado"))</x:f>
      </x:c>
      <x:c r="D74" s="3" t="str">
        <x:f>IF($B74="","",IFERROR(VLOOKUP($B74,Clinicas!$A$4:$R$205,4,FALSE),""))</x:f>
      </x:c>
      <x:c r="E74" s="3" t="str"/>
      <x:c r="F74" s="6" t="str"/>
      <x:c r="G74" s="6" t="str">
        <x:f>IF(OR($E74="",$F74=""),"",$F74/$E74)</x:f>
      </x:c>
      <x:c r="H74" s="3" t="str">
        <x:v>Exames de ultrassonografia veterinaria</x:v>
      </x:c>
      <x:c r="I74" s="3" t="str">
        <x:f>IF($A74="","",$H74&amp;" - "&amp;$E74&amp;" exame(s) realizado(s) em "&amp;TEXT($A74,"dd/mm/yyyy")&amp;". Valor referente ao Pix recebido em "&amp;TEXT($A74,"dd/mm/yyyy")&amp;".")</x:f>
      </x:c>
      <x:c r="J74" s="5" t="str">
        <x:f>IF($A74="","",$A74)</x:f>
      </x:c>
      <x:c r="K74" s="3" t="str"/>
      <x:c r="L74" s="3"/>
      <x:c r="M74" s="3" t="str">
        <x:f>IF($B74="","",IFERROR(VLOOKUP($B74,Clinicas!$A$4:$R$205,16,FALSE),"Confirmar"))</x:f>
      </x:c>
      <x:c r="N74" s="3" t="str">
        <x:f>IF($B74="","",IFERROR(VLOOKUP($B74,Clinicas!$A$4:$R$205,13,FALSE),""))</x:f>
      </x:c>
      <x:c r="O74" s="3"/>
    </x:row>
    <x:row r="75">
      <x:c r="A75" s="5"/>
      <x:c r="B75" s="3" t="str"/>
      <x:c r="C75" s="3" t="str">
        <x:f>IF($B75="","",IFERROR(VLOOKUP($B75,Clinicas!$A$4:$R$205,2,FALSE),"ID nao cadastrado"))</x:f>
      </x:c>
      <x:c r="D75" s="3" t="str">
        <x:f>IF($B75="","",IFERROR(VLOOKUP($B75,Clinicas!$A$4:$R$205,4,FALSE),""))</x:f>
      </x:c>
      <x:c r="E75" s="3" t="str"/>
      <x:c r="F75" s="6" t="str"/>
      <x:c r="G75" s="6" t="str">
        <x:f>IF(OR($E75="",$F75=""),"",$F75/$E75)</x:f>
      </x:c>
      <x:c r="H75" s="3" t="str">
        <x:v>Exames de ultrassonografia veterinaria</x:v>
      </x:c>
      <x:c r="I75" s="3" t="str">
        <x:f>IF($A75="","",$H75&amp;" - "&amp;$E75&amp;" exame(s) realizado(s) em "&amp;TEXT($A75,"dd/mm/yyyy")&amp;". Valor referente ao Pix recebido em "&amp;TEXT($A75,"dd/mm/yyyy")&amp;".")</x:f>
      </x:c>
      <x:c r="J75" s="5" t="str">
        <x:f>IF($A75="","",$A75)</x:f>
      </x:c>
      <x:c r="K75" s="3" t="str"/>
      <x:c r="L75" s="3"/>
      <x:c r="M75" s="3" t="str">
        <x:f>IF($B75="","",IFERROR(VLOOKUP($B75,Clinicas!$A$4:$R$205,16,FALSE),"Confirmar"))</x:f>
      </x:c>
      <x:c r="N75" s="3" t="str">
        <x:f>IF($B75="","",IFERROR(VLOOKUP($B75,Clinicas!$A$4:$R$205,13,FALSE),""))</x:f>
      </x:c>
      <x:c r="O75" s="3"/>
    </x:row>
    <x:row r="76">
      <x:c r="A76" s="5"/>
      <x:c r="B76" s="3" t="str"/>
      <x:c r="C76" s="3" t="str">
        <x:f>IF($B76="","",IFERROR(VLOOKUP($B76,Clinicas!$A$4:$R$205,2,FALSE),"ID nao cadastrado"))</x:f>
      </x:c>
      <x:c r="D76" s="3" t="str">
        <x:f>IF($B76="","",IFERROR(VLOOKUP($B76,Clinicas!$A$4:$R$205,4,FALSE),""))</x:f>
      </x:c>
      <x:c r="E76" s="3" t="str"/>
      <x:c r="F76" s="6" t="str"/>
      <x:c r="G76" s="6" t="str">
        <x:f>IF(OR($E76="",$F76=""),"",$F76/$E76)</x:f>
      </x:c>
      <x:c r="H76" s="3" t="str">
        <x:v>Exames de ultrassonografia veterinaria</x:v>
      </x:c>
      <x:c r="I76" s="3" t="str">
        <x:f>IF($A76="","",$H76&amp;" - "&amp;$E76&amp;" exame(s) realizado(s) em "&amp;TEXT($A76,"dd/mm/yyyy")&amp;". Valor referente ao Pix recebido em "&amp;TEXT($A76,"dd/mm/yyyy")&amp;".")</x:f>
      </x:c>
      <x:c r="J76" s="5" t="str">
        <x:f>IF($A76="","",$A76)</x:f>
      </x:c>
      <x:c r="K76" s="3" t="str"/>
      <x:c r="L76" s="3"/>
      <x:c r="M76" s="3" t="str">
        <x:f>IF($B76="","",IFERROR(VLOOKUP($B76,Clinicas!$A$4:$R$205,16,FALSE),"Confirmar"))</x:f>
      </x:c>
      <x:c r="N76" s="3" t="str">
        <x:f>IF($B76="","",IFERROR(VLOOKUP($B76,Clinicas!$A$4:$R$205,13,FALSE),""))</x:f>
      </x:c>
      <x:c r="O76" s="3"/>
    </x:row>
    <x:row r="77">
      <x:c r="A77" s="5"/>
      <x:c r="B77" s="3" t="str"/>
      <x:c r="C77" s="3" t="str">
        <x:f>IF($B77="","",IFERROR(VLOOKUP($B77,Clinicas!$A$4:$R$205,2,FALSE),"ID nao cadastrado"))</x:f>
      </x:c>
      <x:c r="D77" s="3" t="str">
        <x:f>IF($B77="","",IFERROR(VLOOKUP($B77,Clinicas!$A$4:$R$205,4,FALSE),""))</x:f>
      </x:c>
      <x:c r="E77" s="3" t="str"/>
      <x:c r="F77" s="6" t="str"/>
      <x:c r="G77" s="6" t="str">
        <x:f>IF(OR($E77="",$F77=""),"",$F77/$E77)</x:f>
      </x:c>
      <x:c r="H77" s="3" t="str">
        <x:v>Exames de ultrassonografia veterinaria</x:v>
      </x:c>
      <x:c r="I77" s="3" t="str">
        <x:f>IF($A77="","",$H77&amp;" - "&amp;$E77&amp;" exame(s) realizado(s) em "&amp;TEXT($A77,"dd/mm/yyyy")&amp;". Valor referente ao Pix recebido em "&amp;TEXT($A77,"dd/mm/yyyy")&amp;".")</x:f>
      </x:c>
      <x:c r="J77" s="5" t="str">
        <x:f>IF($A77="","",$A77)</x:f>
      </x:c>
      <x:c r="K77" s="3" t="str"/>
      <x:c r="L77" s="3"/>
      <x:c r="M77" s="3" t="str">
        <x:f>IF($B77="","",IFERROR(VLOOKUP($B77,Clinicas!$A$4:$R$205,16,FALSE),"Confirmar"))</x:f>
      </x:c>
      <x:c r="N77" s="3" t="str">
        <x:f>IF($B77="","",IFERROR(VLOOKUP($B77,Clinicas!$A$4:$R$205,13,FALSE),""))</x:f>
      </x:c>
      <x:c r="O77" s="3"/>
    </x:row>
    <x:row r="78">
      <x:c r="A78" s="5"/>
      <x:c r="B78" s="3" t="str"/>
      <x:c r="C78" s="3" t="str">
        <x:f>IF($B78="","",IFERROR(VLOOKUP($B78,Clinicas!$A$4:$R$205,2,FALSE),"ID nao cadastrado"))</x:f>
      </x:c>
      <x:c r="D78" s="3" t="str">
        <x:f>IF($B78="","",IFERROR(VLOOKUP($B78,Clinicas!$A$4:$R$205,4,FALSE),""))</x:f>
      </x:c>
      <x:c r="E78" s="3" t="str"/>
      <x:c r="F78" s="6" t="str"/>
      <x:c r="G78" s="6" t="str">
        <x:f>IF(OR($E78="",$F78=""),"",$F78/$E78)</x:f>
      </x:c>
      <x:c r="H78" s="3" t="str">
        <x:v>Exames de ultrassonografia veterinaria</x:v>
      </x:c>
      <x:c r="I78" s="3" t="str">
        <x:f>IF($A78="","",$H78&amp;" - "&amp;$E78&amp;" exame(s) realizado(s) em "&amp;TEXT($A78,"dd/mm/yyyy")&amp;". Valor referente ao Pix recebido em "&amp;TEXT($A78,"dd/mm/yyyy")&amp;".")</x:f>
      </x:c>
      <x:c r="J78" s="5" t="str">
        <x:f>IF($A78="","",$A78)</x:f>
      </x:c>
      <x:c r="K78" s="3" t="str"/>
      <x:c r="L78" s="3"/>
      <x:c r="M78" s="3" t="str">
        <x:f>IF($B78="","",IFERROR(VLOOKUP($B78,Clinicas!$A$4:$R$205,16,FALSE),"Confirmar"))</x:f>
      </x:c>
      <x:c r="N78" s="3" t="str">
        <x:f>IF($B78="","",IFERROR(VLOOKUP($B78,Clinicas!$A$4:$R$205,13,FALSE),""))</x:f>
      </x:c>
      <x:c r="O78" s="3"/>
    </x:row>
    <x:row r="79">
      <x:c r="A79" s="5"/>
      <x:c r="B79" s="3" t="str"/>
      <x:c r="C79" s="3" t="str">
        <x:f>IF($B79="","",IFERROR(VLOOKUP($B79,Clinicas!$A$4:$R$205,2,FALSE),"ID nao cadastrado"))</x:f>
      </x:c>
      <x:c r="D79" s="3" t="str">
        <x:f>IF($B79="","",IFERROR(VLOOKUP($B79,Clinicas!$A$4:$R$205,4,FALSE),""))</x:f>
      </x:c>
      <x:c r="E79" s="3" t="str"/>
      <x:c r="F79" s="6" t="str"/>
      <x:c r="G79" s="6" t="str">
        <x:f>IF(OR($E79="",$F79=""),"",$F79/$E79)</x:f>
      </x:c>
      <x:c r="H79" s="3" t="str">
        <x:v>Exames de ultrassonografia veterinaria</x:v>
      </x:c>
      <x:c r="I79" s="3" t="str">
        <x:f>IF($A79="","",$H79&amp;" - "&amp;$E79&amp;" exame(s) realizado(s) em "&amp;TEXT($A79,"dd/mm/yyyy")&amp;". Valor referente ao Pix recebido em "&amp;TEXT($A79,"dd/mm/yyyy")&amp;".")</x:f>
      </x:c>
      <x:c r="J79" s="5" t="str">
        <x:f>IF($A79="","",$A79)</x:f>
      </x:c>
      <x:c r="K79" s="3" t="str"/>
      <x:c r="L79" s="3"/>
      <x:c r="M79" s="3" t="str">
        <x:f>IF($B79="","",IFERROR(VLOOKUP($B79,Clinicas!$A$4:$R$205,16,FALSE),"Confirmar"))</x:f>
      </x:c>
      <x:c r="N79" s="3" t="str">
        <x:f>IF($B79="","",IFERROR(VLOOKUP($B79,Clinicas!$A$4:$R$205,13,FALSE),""))</x:f>
      </x:c>
      <x:c r="O79" s="3"/>
    </x:row>
    <x:row r="80">
      <x:c r="A80" s="5"/>
      <x:c r="B80" s="3" t="str"/>
      <x:c r="C80" s="3" t="str">
        <x:f>IF($B80="","",IFERROR(VLOOKUP($B80,Clinicas!$A$4:$R$205,2,FALSE),"ID nao cadastrado"))</x:f>
      </x:c>
      <x:c r="D80" s="3" t="str">
        <x:f>IF($B80="","",IFERROR(VLOOKUP($B80,Clinicas!$A$4:$R$205,4,FALSE),""))</x:f>
      </x:c>
      <x:c r="E80" s="3" t="str"/>
      <x:c r="F80" s="6" t="str"/>
      <x:c r="G80" s="6" t="str">
        <x:f>IF(OR($E80="",$F80=""),"",$F80/$E80)</x:f>
      </x:c>
      <x:c r="H80" s="3" t="str">
        <x:v>Exames de ultrassonografia veterinaria</x:v>
      </x:c>
      <x:c r="I80" s="3" t="str">
        <x:f>IF($A80="","",$H80&amp;" - "&amp;$E80&amp;" exame(s) realizado(s) em "&amp;TEXT($A80,"dd/mm/yyyy")&amp;". Valor referente ao Pix recebido em "&amp;TEXT($A80,"dd/mm/yyyy")&amp;".")</x:f>
      </x:c>
      <x:c r="J80" s="5" t="str">
        <x:f>IF($A80="","",$A80)</x:f>
      </x:c>
      <x:c r="K80" s="3" t="str"/>
      <x:c r="L80" s="3"/>
      <x:c r="M80" s="3" t="str">
        <x:f>IF($B80="","",IFERROR(VLOOKUP($B80,Clinicas!$A$4:$R$205,16,FALSE),"Confirmar"))</x:f>
      </x:c>
      <x:c r="N80" s="3" t="str">
        <x:f>IF($B80="","",IFERROR(VLOOKUP($B80,Clinicas!$A$4:$R$205,13,FALSE),""))</x:f>
      </x:c>
      <x:c r="O80" s="3"/>
    </x:row>
    <x:row r="81">
      <x:c r="A81" s="5"/>
      <x:c r="B81" s="3" t="str"/>
      <x:c r="C81" s="3" t="str">
        <x:f>IF($B81="","",IFERROR(VLOOKUP($B81,Clinicas!$A$4:$R$205,2,FALSE),"ID nao cadastrado"))</x:f>
      </x:c>
      <x:c r="D81" s="3" t="str">
        <x:f>IF($B81="","",IFERROR(VLOOKUP($B81,Clinicas!$A$4:$R$205,4,FALSE),""))</x:f>
      </x:c>
      <x:c r="E81" s="3" t="str"/>
      <x:c r="F81" s="6" t="str"/>
      <x:c r="G81" s="6" t="str">
        <x:f>IF(OR($E81="",$F81=""),"",$F81/$E81)</x:f>
      </x:c>
      <x:c r="H81" s="3" t="str">
        <x:v>Exames de ultrassonografia veterinaria</x:v>
      </x:c>
      <x:c r="I81" s="3" t="str">
        <x:f>IF($A81="","",$H81&amp;" - "&amp;$E81&amp;" exame(s) realizado(s) em "&amp;TEXT($A81,"dd/mm/yyyy")&amp;". Valor referente ao Pix recebido em "&amp;TEXT($A81,"dd/mm/yyyy")&amp;".")</x:f>
      </x:c>
      <x:c r="J81" s="5" t="str">
        <x:f>IF($A81="","",$A81)</x:f>
      </x:c>
      <x:c r="K81" s="3" t="str"/>
      <x:c r="L81" s="3"/>
      <x:c r="M81" s="3" t="str">
        <x:f>IF($B81="","",IFERROR(VLOOKUP($B81,Clinicas!$A$4:$R$205,16,FALSE),"Confirmar"))</x:f>
      </x:c>
      <x:c r="N81" s="3" t="str">
        <x:f>IF($B81="","",IFERROR(VLOOKUP($B81,Clinicas!$A$4:$R$205,13,FALSE),""))</x:f>
      </x:c>
      <x:c r="O81" s="3"/>
    </x:row>
    <x:row r="82">
      <x:c r="A82" s="5"/>
      <x:c r="B82" s="3" t="str"/>
      <x:c r="C82" s="3" t="str">
        <x:f>IF($B82="","",IFERROR(VLOOKUP($B82,Clinicas!$A$4:$R$205,2,FALSE),"ID nao cadastrado"))</x:f>
      </x:c>
      <x:c r="D82" s="3" t="str">
        <x:f>IF($B82="","",IFERROR(VLOOKUP($B82,Clinicas!$A$4:$R$205,4,FALSE),""))</x:f>
      </x:c>
      <x:c r="E82" s="3" t="str"/>
      <x:c r="F82" s="6" t="str"/>
      <x:c r="G82" s="6" t="str">
        <x:f>IF(OR($E82="",$F82=""),"",$F82/$E82)</x:f>
      </x:c>
      <x:c r="H82" s="3" t="str">
        <x:v>Exames de ultrassonografia veterinaria</x:v>
      </x:c>
      <x:c r="I82" s="3" t="str">
        <x:f>IF($A82="","",$H82&amp;" - "&amp;$E82&amp;" exame(s) realizado(s) em "&amp;TEXT($A82,"dd/mm/yyyy")&amp;". Valor referente ao Pix recebido em "&amp;TEXT($A82,"dd/mm/yyyy")&amp;".")</x:f>
      </x:c>
      <x:c r="J82" s="5" t="str">
        <x:f>IF($A82="","",$A82)</x:f>
      </x:c>
      <x:c r="K82" s="3" t="str"/>
      <x:c r="L82" s="3"/>
      <x:c r="M82" s="3" t="str">
        <x:f>IF($B82="","",IFERROR(VLOOKUP($B82,Clinicas!$A$4:$R$205,16,FALSE),"Confirmar"))</x:f>
      </x:c>
      <x:c r="N82" s="3" t="str">
        <x:f>IF($B82="","",IFERROR(VLOOKUP($B82,Clinicas!$A$4:$R$205,13,FALSE),""))</x:f>
      </x:c>
      <x:c r="O82" s="3"/>
    </x:row>
    <x:row r="83">
      <x:c r="A83" s="5"/>
      <x:c r="B83" s="3" t="str"/>
      <x:c r="C83" s="3" t="str">
        <x:f>IF($B83="","",IFERROR(VLOOKUP($B83,Clinicas!$A$4:$R$205,2,FALSE),"ID nao cadastrado"))</x:f>
      </x:c>
      <x:c r="D83" s="3" t="str">
        <x:f>IF($B83="","",IFERROR(VLOOKUP($B83,Clinicas!$A$4:$R$205,4,FALSE),""))</x:f>
      </x:c>
      <x:c r="E83" s="3" t="str"/>
      <x:c r="F83" s="6" t="str"/>
      <x:c r="G83" s="6" t="str">
        <x:f>IF(OR($E83="",$F83=""),"",$F83/$E83)</x:f>
      </x:c>
      <x:c r="H83" s="3" t="str">
        <x:v>Exames de ultrassonografia veterinaria</x:v>
      </x:c>
      <x:c r="I83" s="3" t="str">
        <x:f>IF($A83="","",$H83&amp;" - "&amp;$E83&amp;" exame(s) realizado(s) em "&amp;TEXT($A83,"dd/mm/yyyy")&amp;". Valor referente ao Pix recebido em "&amp;TEXT($A83,"dd/mm/yyyy")&amp;".")</x:f>
      </x:c>
      <x:c r="J83" s="5" t="str">
        <x:f>IF($A83="","",$A83)</x:f>
      </x:c>
      <x:c r="K83" s="3" t="str"/>
      <x:c r="L83" s="3"/>
      <x:c r="M83" s="3" t="str">
        <x:f>IF($B83="","",IFERROR(VLOOKUP($B83,Clinicas!$A$4:$R$205,16,FALSE),"Confirmar"))</x:f>
      </x:c>
      <x:c r="N83" s="3" t="str">
        <x:f>IF($B83="","",IFERROR(VLOOKUP($B83,Clinicas!$A$4:$R$205,13,FALSE),""))</x:f>
      </x:c>
      <x:c r="O83" s="3"/>
    </x:row>
    <x:row r="84">
      <x:c r="A84" s="5"/>
      <x:c r="B84" s="3" t="str"/>
      <x:c r="C84" s="3" t="str">
        <x:f>IF($B84="","",IFERROR(VLOOKUP($B84,Clinicas!$A$4:$R$205,2,FALSE),"ID nao cadastrado"))</x:f>
      </x:c>
      <x:c r="D84" s="3" t="str">
        <x:f>IF($B84="","",IFERROR(VLOOKUP($B84,Clinicas!$A$4:$R$205,4,FALSE),""))</x:f>
      </x:c>
      <x:c r="E84" s="3" t="str"/>
      <x:c r="F84" s="6" t="str"/>
      <x:c r="G84" s="6" t="str">
        <x:f>IF(OR($E84="",$F84=""),"",$F84/$E84)</x:f>
      </x:c>
      <x:c r="H84" s="3" t="str">
        <x:v>Exames de ultrassonografia veterinaria</x:v>
      </x:c>
      <x:c r="I84" s="3" t="str">
        <x:f>IF($A84="","",$H84&amp;" - "&amp;$E84&amp;" exame(s) realizado(s) em "&amp;TEXT($A84,"dd/mm/yyyy")&amp;". Valor referente ao Pix recebido em "&amp;TEXT($A84,"dd/mm/yyyy")&amp;".")</x:f>
      </x:c>
      <x:c r="J84" s="5" t="str">
        <x:f>IF($A84="","",$A84)</x:f>
      </x:c>
      <x:c r="K84" s="3" t="str"/>
      <x:c r="L84" s="3"/>
      <x:c r="M84" s="3" t="str">
        <x:f>IF($B84="","",IFERROR(VLOOKUP($B84,Clinicas!$A$4:$R$205,16,FALSE),"Confirmar"))</x:f>
      </x:c>
      <x:c r="N84" s="3" t="str">
        <x:f>IF($B84="","",IFERROR(VLOOKUP($B84,Clinicas!$A$4:$R$205,13,FALSE),""))</x:f>
      </x:c>
      <x:c r="O84" s="3"/>
    </x:row>
    <x:row r="85">
      <x:c r="A85" s="5"/>
      <x:c r="B85" s="3" t="str"/>
      <x:c r="C85" s="3" t="str">
        <x:f>IF($B85="","",IFERROR(VLOOKUP($B85,Clinicas!$A$4:$R$205,2,FALSE),"ID nao cadastrado"))</x:f>
      </x:c>
      <x:c r="D85" s="3" t="str">
        <x:f>IF($B85="","",IFERROR(VLOOKUP($B85,Clinicas!$A$4:$R$205,4,FALSE),""))</x:f>
      </x:c>
      <x:c r="E85" s="3" t="str"/>
      <x:c r="F85" s="6" t="str"/>
      <x:c r="G85" s="6" t="str">
        <x:f>IF(OR($E85="",$F85=""),"",$F85/$E85)</x:f>
      </x:c>
      <x:c r="H85" s="3" t="str">
        <x:v>Exames de ultrassonografia veterinaria</x:v>
      </x:c>
      <x:c r="I85" s="3" t="str">
        <x:f>IF($A85="","",$H85&amp;" - "&amp;$E85&amp;" exame(s) realizado(s) em "&amp;TEXT($A85,"dd/mm/yyyy")&amp;". Valor referente ao Pix recebido em "&amp;TEXT($A85,"dd/mm/yyyy")&amp;".")</x:f>
      </x:c>
      <x:c r="J85" s="5" t="str">
        <x:f>IF($A85="","",$A85)</x:f>
      </x:c>
      <x:c r="K85" s="3" t="str"/>
      <x:c r="L85" s="3"/>
      <x:c r="M85" s="3" t="str">
        <x:f>IF($B85="","",IFERROR(VLOOKUP($B85,Clinicas!$A$4:$R$205,16,FALSE),"Confirmar"))</x:f>
      </x:c>
      <x:c r="N85" s="3" t="str">
        <x:f>IF($B85="","",IFERROR(VLOOKUP($B85,Clinicas!$A$4:$R$205,13,FALSE),""))</x:f>
      </x:c>
      <x:c r="O85" s="3"/>
    </x:row>
    <x:row r="86">
      <x:c r="A86" s="5"/>
      <x:c r="B86" s="3" t="str"/>
      <x:c r="C86" s="3" t="str">
        <x:f>IF($B86="","",IFERROR(VLOOKUP($B86,Clinicas!$A$4:$R$205,2,FALSE),"ID nao cadastrado"))</x:f>
      </x:c>
      <x:c r="D86" s="3" t="str">
        <x:f>IF($B86="","",IFERROR(VLOOKUP($B86,Clinicas!$A$4:$R$205,4,FALSE),""))</x:f>
      </x:c>
      <x:c r="E86" s="3" t="str"/>
      <x:c r="F86" s="6" t="str"/>
      <x:c r="G86" s="6" t="str">
        <x:f>IF(OR($E86="",$F86=""),"",$F86/$E86)</x:f>
      </x:c>
      <x:c r="H86" s="3" t="str">
        <x:v>Exames de ultrassonografia veterinaria</x:v>
      </x:c>
      <x:c r="I86" s="3" t="str">
        <x:f>IF($A86="","",$H86&amp;" - "&amp;$E86&amp;" exame(s) realizado(s) em "&amp;TEXT($A86,"dd/mm/yyyy")&amp;". Valor referente ao Pix recebido em "&amp;TEXT($A86,"dd/mm/yyyy")&amp;".")</x:f>
      </x:c>
      <x:c r="J86" s="5" t="str">
        <x:f>IF($A86="","",$A86)</x:f>
      </x:c>
      <x:c r="K86" s="3" t="str"/>
      <x:c r="L86" s="3"/>
      <x:c r="M86" s="3" t="str">
        <x:f>IF($B86="","",IFERROR(VLOOKUP($B86,Clinicas!$A$4:$R$205,16,FALSE),"Confirmar"))</x:f>
      </x:c>
      <x:c r="N86" s="3" t="str">
        <x:f>IF($B86="","",IFERROR(VLOOKUP($B86,Clinicas!$A$4:$R$205,13,FALSE),""))</x:f>
      </x:c>
      <x:c r="O86" s="3"/>
    </x:row>
    <x:row r="87">
      <x:c r="A87" s="5"/>
      <x:c r="B87" s="3" t="str"/>
      <x:c r="C87" s="3" t="str">
        <x:f>IF($B87="","",IFERROR(VLOOKUP($B87,Clinicas!$A$4:$R$205,2,FALSE),"ID nao cadastrado"))</x:f>
      </x:c>
      <x:c r="D87" s="3" t="str">
        <x:f>IF($B87="","",IFERROR(VLOOKUP($B87,Clinicas!$A$4:$R$205,4,FALSE),""))</x:f>
      </x:c>
      <x:c r="E87" s="3" t="str"/>
      <x:c r="F87" s="6" t="str"/>
      <x:c r="G87" s="6" t="str">
        <x:f>IF(OR($E87="",$F87=""),"",$F87/$E87)</x:f>
      </x:c>
      <x:c r="H87" s="3" t="str">
        <x:v>Exames de ultrassonografia veterinaria</x:v>
      </x:c>
      <x:c r="I87" s="3" t="str">
        <x:f>IF($A87="","",$H87&amp;" - "&amp;$E87&amp;" exame(s) realizado(s) em "&amp;TEXT($A87,"dd/mm/yyyy")&amp;". Valor referente ao Pix recebido em "&amp;TEXT($A87,"dd/mm/yyyy")&amp;".")</x:f>
      </x:c>
      <x:c r="J87" s="5" t="str">
        <x:f>IF($A87="","",$A87)</x:f>
      </x:c>
      <x:c r="K87" s="3" t="str"/>
      <x:c r="L87" s="3"/>
      <x:c r="M87" s="3" t="str">
        <x:f>IF($B87="","",IFERROR(VLOOKUP($B87,Clinicas!$A$4:$R$205,16,FALSE),"Confirmar"))</x:f>
      </x:c>
      <x:c r="N87" s="3" t="str">
        <x:f>IF($B87="","",IFERROR(VLOOKUP($B87,Clinicas!$A$4:$R$205,13,FALSE),""))</x:f>
      </x:c>
      <x:c r="O87" s="3"/>
    </x:row>
    <x:row r="88">
      <x:c r="A88" s="5"/>
      <x:c r="B88" s="3" t="str"/>
      <x:c r="C88" s="3" t="str">
        <x:f>IF($B88="","",IFERROR(VLOOKUP($B88,Clinicas!$A$4:$R$205,2,FALSE),"ID nao cadastrado"))</x:f>
      </x:c>
      <x:c r="D88" s="3" t="str">
        <x:f>IF($B88="","",IFERROR(VLOOKUP($B88,Clinicas!$A$4:$R$205,4,FALSE),""))</x:f>
      </x:c>
      <x:c r="E88" s="3" t="str"/>
      <x:c r="F88" s="6" t="str"/>
      <x:c r="G88" s="6" t="str">
        <x:f>IF(OR($E88="",$F88=""),"",$F88/$E88)</x:f>
      </x:c>
      <x:c r="H88" s="3" t="str">
        <x:v>Exames de ultrassonografia veterinaria</x:v>
      </x:c>
      <x:c r="I88" s="3" t="str">
        <x:f>IF($A88="","",$H88&amp;" - "&amp;$E88&amp;" exame(s) realizado(s) em "&amp;TEXT($A88,"dd/mm/yyyy")&amp;". Valor referente ao Pix recebido em "&amp;TEXT($A88,"dd/mm/yyyy")&amp;".")</x:f>
      </x:c>
      <x:c r="J88" s="5" t="str">
        <x:f>IF($A88="","",$A88)</x:f>
      </x:c>
      <x:c r="K88" s="3" t="str"/>
      <x:c r="L88" s="3"/>
      <x:c r="M88" s="3" t="str">
        <x:f>IF($B88="","",IFERROR(VLOOKUP($B88,Clinicas!$A$4:$R$205,16,FALSE),"Confirmar"))</x:f>
      </x:c>
      <x:c r="N88" s="3" t="str">
        <x:f>IF($B88="","",IFERROR(VLOOKUP($B88,Clinicas!$A$4:$R$205,13,FALSE),""))</x:f>
      </x:c>
      <x:c r="O88" s="3"/>
    </x:row>
    <x:row r="89">
      <x:c r="A89" s="5"/>
      <x:c r="B89" s="3" t="str"/>
      <x:c r="C89" s="3" t="str">
        <x:f>IF($B89="","",IFERROR(VLOOKUP($B89,Clinicas!$A$4:$R$205,2,FALSE),"ID nao cadastrado"))</x:f>
      </x:c>
      <x:c r="D89" s="3" t="str">
        <x:f>IF($B89="","",IFERROR(VLOOKUP($B89,Clinicas!$A$4:$R$205,4,FALSE),""))</x:f>
      </x:c>
      <x:c r="E89" s="3" t="str"/>
      <x:c r="F89" s="6" t="str"/>
      <x:c r="G89" s="6" t="str">
        <x:f>IF(OR($E89="",$F89=""),"",$F89/$E89)</x:f>
      </x:c>
      <x:c r="H89" s="3" t="str">
        <x:v>Exames de ultrassonografia veterinaria</x:v>
      </x:c>
      <x:c r="I89" s="3" t="str">
        <x:f>IF($A89="","",$H89&amp;" - "&amp;$E89&amp;" exame(s) realizado(s) em "&amp;TEXT($A89,"dd/mm/yyyy")&amp;". Valor referente ao Pix recebido em "&amp;TEXT($A89,"dd/mm/yyyy")&amp;".")</x:f>
      </x:c>
      <x:c r="J89" s="5" t="str">
        <x:f>IF($A89="","",$A89)</x:f>
      </x:c>
      <x:c r="K89" s="3" t="str"/>
      <x:c r="L89" s="3"/>
      <x:c r="M89" s="3" t="str">
        <x:f>IF($B89="","",IFERROR(VLOOKUP($B89,Clinicas!$A$4:$R$205,16,FALSE),"Confirmar"))</x:f>
      </x:c>
      <x:c r="N89" s="3" t="str">
        <x:f>IF($B89="","",IFERROR(VLOOKUP($B89,Clinicas!$A$4:$R$205,13,FALSE),""))</x:f>
      </x:c>
      <x:c r="O89" s="3"/>
    </x:row>
    <x:row r="90">
      <x:c r="A90" s="5"/>
      <x:c r="B90" s="3" t="str"/>
      <x:c r="C90" s="3" t="str">
        <x:f>IF($B90="","",IFERROR(VLOOKUP($B90,Clinicas!$A$4:$R$205,2,FALSE),"ID nao cadastrado"))</x:f>
      </x:c>
      <x:c r="D90" s="3" t="str">
        <x:f>IF($B90="","",IFERROR(VLOOKUP($B90,Clinicas!$A$4:$R$205,4,FALSE),""))</x:f>
      </x:c>
      <x:c r="E90" s="3" t="str"/>
      <x:c r="F90" s="6" t="str"/>
      <x:c r="G90" s="6" t="str">
        <x:f>IF(OR($E90="",$F90=""),"",$F90/$E90)</x:f>
      </x:c>
      <x:c r="H90" s="3" t="str">
        <x:v>Exames de ultrassonografia veterinaria</x:v>
      </x:c>
      <x:c r="I90" s="3" t="str">
        <x:f>IF($A90="","",$H90&amp;" - "&amp;$E90&amp;" exame(s) realizado(s) em "&amp;TEXT($A90,"dd/mm/yyyy")&amp;". Valor referente ao Pix recebido em "&amp;TEXT($A90,"dd/mm/yyyy")&amp;".")</x:f>
      </x:c>
      <x:c r="J90" s="5" t="str">
        <x:f>IF($A90="","",$A90)</x:f>
      </x:c>
      <x:c r="K90" s="3" t="str"/>
      <x:c r="L90" s="3"/>
      <x:c r="M90" s="3" t="str">
        <x:f>IF($B90="","",IFERROR(VLOOKUP($B90,Clinicas!$A$4:$R$205,16,FALSE),"Confirmar"))</x:f>
      </x:c>
      <x:c r="N90" s="3" t="str">
        <x:f>IF($B90="","",IFERROR(VLOOKUP($B90,Clinicas!$A$4:$R$205,13,FALSE),""))</x:f>
      </x:c>
      <x:c r="O90" s="3"/>
    </x:row>
    <x:row r="91">
      <x:c r="A91" s="5"/>
      <x:c r="B91" s="3" t="str"/>
      <x:c r="C91" s="3" t="str">
        <x:f>IF($B91="","",IFERROR(VLOOKUP($B91,Clinicas!$A$4:$R$205,2,FALSE),"ID nao cadastrado"))</x:f>
      </x:c>
      <x:c r="D91" s="3" t="str">
        <x:f>IF($B91="","",IFERROR(VLOOKUP($B91,Clinicas!$A$4:$R$205,4,FALSE),""))</x:f>
      </x:c>
      <x:c r="E91" s="3" t="str"/>
      <x:c r="F91" s="6" t="str"/>
      <x:c r="G91" s="6" t="str">
        <x:f>IF(OR($E91="",$F91=""),"",$F91/$E91)</x:f>
      </x:c>
      <x:c r="H91" s="3" t="str">
        <x:v>Exames de ultrassonografia veterinaria</x:v>
      </x:c>
      <x:c r="I91" s="3" t="str">
        <x:f>IF($A91="","",$H91&amp;" - "&amp;$E91&amp;" exame(s) realizado(s) em "&amp;TEXT($A91,"dd/mm/yyyy")&amp;". Valor referente ao Pix recebido em "&amp;TEXT($A91,"dd/mm/yyyy")&amp;".")</x:f>
      </x:c>
      <x:c r="J91" s="5" t="str">
        <x:f>IF($A91="","",$A91)</x:f>
      </x:c>
      <x:c r="K91" s="3" t="str"/>
      <x:c r="L91" s="3"/>
      <x:c r="M91" s="3" t="str">
        <x:f>IF($B91="","",IFERROR(VLOOKUP($B91,Clinicas!$A$4:$R$205,16,FALSE),"Confirmar"))</x:f>
      </x:c>
      <x:c r="N91" s="3" t="str">
        <x:f>IF($B91="","",IFERROR(VLOOKUP($B91,Clinicas!$A$4:$R$205,13,FALSE),""))</x:f>
      </x:c>
      <x:c r="O91" s="3"/>
    </x:row>
    <x:row r="92">
      <x:c r="A92" s="5"/>
      <x:c r="B92" s="3" t="str"/>
      <x:c r="C92" s="3" t="str">
        <x:f>IF($B92="","",IFERROR(VLOOKUP($B92,Clinicas!$A$4:$R$205,2,FALSE),"ID nao cadastrado"))</x:f>
      </x:c>
      <x:c r="D92" s="3" t="str">
        <x:f>IF($B92="","",IFERROR(VLOOKUP($B92,Clinicas!$A$4:$R$205,4,FALSE),""))</x:f>
      </x:c>
      <x:c r="E92" s="3" t="str"/>
      <x:c r="F92" s="6" t="str"/>
      <x:c r="G92" s="6" t="str">
        <x:f>IF(OR($E92="",$F92=""),"",$F92/$E92)</x:f>
      </x:c>
      <x:c r="H92" s="3" t="str">
        <x:v>Exames de ultrassonografia veterinaria</x:v>
      </x:c>
      <x:c r="I92" s="3" t="str">
        <x:f>IF($A92="","",$H92&amp;" - "&amp;$E92&amp;" exame(s) realizado(s) em "&amp;TEXT($A92,"dd/mm/yyyy")&amp;". Valor referente ao Pix recebido em "&amp;TEXT($A92,"dd/mm/yyyy")&amp;".")</x:f>
      </x:c>
      <x:c r="J92" s="5" t="str">
        <x:f>IF($A92="","",$A92)</x:f>
      </x:c>
      <x:c r="K92" s="3" t="str"/>
      <x:c r="L92" s="3"/>
      <x:c r="M92" s="3" t="str">
        <x:f>IF($B92="","",IFERROR(VLOOKUP($B92,Clinicas!$A$4:$R$205,16,FALSE),"Confirmar"))</x:f>
      </x:c>
      <x:c r="N92" s="3" t="str">
        <x:f>IF($B92="","",IFERROR(VLOOKUP($B92,Clinicas!$A$4:$R$205,13,FALSE),""))</x:f>
      </x:c>
      <x:c r="O92" s="3"/>
    </x:row>
    <x:row r="93">
      <x:c r="A93" s="5"/>
      <x:c r="B93" s="3" t="str"/>
      <x:c r="C93" s="3" t="str">
        <x:f>IF($B93="","",IFERROR(VLOOKUP($B93,Clinicas!$A$4:$R$205,2,FALSE),"ID nao cadastrado"))</x:f>
      </x:c>
      <x:c r="D93" s="3" t="str">
        <x:f>IF($B93="","",IFERROR(VLOOKUP($B93,Clinicas!$A$4:$R$205,4,FALSE),""))</x:f>
      </x:c>
      <x:c r="E93" s="3" t="str"/>
      <x:c r="F93" s="6" t="str"/>
      <x:c r="G93" s="6" t="str">
        <x:f>IF(OR($E93="",$F93=""),"",$F93/$E93)</x:f>
      </x:c>
      <x:c r="H93" s="3" t="str">
        <x:v>Exames de ultrassonografia veterinaria</x:v>
      </x:c>
      <x:c r="I93" s="3" t="str">
        <x:f>IF($A93="","",$H93&amp;" - "&amp;$E93&amp;" exame(s) realizado(s) em "&amp;TEXT($A93,"dd/mm/yyyy")&amp;". Valor referente ao Pix recebido em "&amp;TEXT($A93,"dd/mm/yyyy")&amp;".")</x:f>
      </x:c>
      <x:c r="J93" s="5" t="str">
        <x:f>IF($A93="","",$A93)</x:f>
      </x:c>
      <x:c r="K93" s="3" t="str"/>
      <x:c r="L93" s="3"/>
      <x:c r="M93" s="3" t="str">
        <x:f>IF($B93="","",IFERROR(VLOOKUP($B93,Clinicas!$A$4:$R$205,16,FALSE),"Confirmar"))</x:f>
      </x:c>
      <x:c r="N93" s="3" t="str">
        <x:f>IF($B93="","",IFERROR(VLOOKUP($B93,Clinicas!$A$4:$R$205,13,FALSE),""))</x:f>
      </x:c>
      <x:c r="O93" s="3"/>
    </x:row>
    <x:row r="94">
      <x:c r="A94" s="5"/>
      <x:c r="B94" s="3" t="str"/>
      <x:c r="C94" s="3" t="str">
        <x:f>IF($B94="","",IFERROR(VLOOKUP($B94,Clinicas!$A$4:$R$205,2,FALSE),"ID nao cadastrado"))</x:f>
      </x:c>
      <x:c r="D94" s="3" t="str">
        <x:f>IF($B94="","",IFERROR(VLOOKUP($B94,Clinicas!$A$4:$R$205,4,FALSE),""))</x:f>
      </x:c>
      <x:c r="E94" s="3" t="str"/>
      <x:c r="F94" s="6" t="str"/>
      <x:c r="G94" s="6" t="str">
        <x:f>IF(OR($E94="",$F94=""),"",$F94/$E94)</x:f>
      </x:c>
      <x:c r="H94" s="3" t="str">
        <x:v>Exames de ultrassonografia veterinaria</x:v>
      </x:c>
      <x:c r="I94" s="3" t="str">
        <x:f>IF($A94="","",$H94&amp;" - "&amp;$E94&amp;" exame(s) realizado(s) em "&amp;TEXT($A94,"dd/mm/yyyy")&amp;". Valor referente ao Pix recebido em "&amp;TEXT($A94,"dd/mm/yyyy")&amp;".")</x:f>
      </x:c>
      <x:c r="J94" s="5" t="str">
        <x:f>IF($A94="","",$A94)</x:f>
      </x:c>
      <x:c r="K94" s="3" t="str"/>
      <x:c r="L94" s="3"/>
      <x:c r="M94" s="3" t="str">
        <x:f>IF($B94="","",IFERROR(VLOOKUP($B94,Clinicas!$A$4:$R$205,16,FALSE),"Confirmar"))</x:f>
      </x:c>
      <x:c r="N94" s="3" t="str">
        <x:f>IF($B94="","",IFERROR(VLOOKUP($B94,Clinicas!$A$4:$R$205,13,FALSE),""))</x:f>
      </x:c>
      <x:c r="O94" s="3"/>
    </x:row>
    <x:row r="95">
      <x:c r="A95" s="5"/>
      <x:c r="B95" s="3" t="str"/>
      <x:c r="C95" s="3" t="str">
        <x:f>IF($B95="","",IFERROR(VLOOKUP($B95,Clinicas!$A$4:$R$205,2,FALSE),"ID nao cadastrado"))</x:f>
      </x:c>
      <x:c r="D95" s="3" t="str">
        <x:f>IF($B95="","",IFERROR(VLOOKUP($B95,Clinicas!$A$4:$R$205,4,FALSE),""))</x:f>
      </x:c>
      <x:c r="E95" s="3" t="str"/>
      <x:c r="F95" s="6" t="str"/>
      <x:c r="G95" s="6" t="str">
        <x:f>IF(OR($E95="",$F95=""),"",$F95/$E95)</x:f>
      </x:c>
      <x:c r="H95" s="3" t="str">
        <x:v>Exames de ultrassonografia veterinaria</x:v>
      </x:c>
      <x:c r="I95" s="3" t="str">
        <x:f>IF($A95="","",$H95&amp;" - "&amp;$E95&amp;" exame(s) realizado(s) em "&amp;TEXT($A95,"dd/mm/yyyy")&amp;". Valor referente ao Pix recebido em "&amp;TEXT($A95,"dd/mm/yyyy")&amp;".")</x:f>
      </x:c>
      <x:c r="J95" s="5" t="str">
        <x:f>IF($A95="","",$A95)</x:f>
      </x:c>
      <x:c r="K95" s="3" t="str"/>
      <x:c r="L95" s="3"/>
      <x:c r="M95" s="3" t="str">
        <x:f>IF($B95="","",IFERROR(VLOOKUP($B95,Clinicas!$A$4:$R$205,16,FALSE),"Confirmar"))</x:f>
      </x:c>
      <x:c r="N95" s="3" t="str">
        <x:f>IF($B95="","",IFERROR(VLOOKUP($B95,Clinicas!$A$4:$R$205,13,FALSE),""))</x:f>
      </x:c>
      <x:c r="O95" s="3"/>
    </x:row>
    <x:row r="96">
      <x:c r="A96" s="5"/>
      <x:c r="B96" s="3" t="str"/>
      <x:c r="C96" s="3" t="str">
        <x:f>IF($B96="","",IFERROR(VLOOKUP($B96,Clinicas!$A$4:$R$205,2,FALSE),"ID nao cadastrado"))</x:f>
      </x:c>
      <x:c r="D96" s="3" t="str">
        <x:f>IF($B96="","",IFERROR(VLOOKUP($B96,Clinicas!$A$4:$R$205,4,FALSE),""))</x:f>
      </x:c>
      <x:c r="E96" s="3" t="str"/>
      <x:c r="F96" s="6" t="str"/>
      <x:c r="G96" s="6" t="str">
        <x:f>IF(OR($E96="",$F96=""),"",$F96/$E96)</x:f>
      </x:c>
      <x:c r="H96" s="3" t="str">
        <x:v>Exames de ultrassonografia veterinaria</x:v>
      </x:c>
      <x:c r="I96" s="3" t="str">
        <x:f>IF($A96="","",$H96&amp;" - "&amp;$E96&amp;" exame(s) realizado(s) em "&amp;TEXT($A96,"dd/mm/yyyy")&amp;". Valor referente ao Pix recebido em "&amp;TEXT($A96,"dd/mm/yyyy")&amp;".")</x:f>
      </x:c>
      <x:c r="J96" s="5" t="str">
        <x:f>IF($A96="","",$A96)</x:f>
      </x:c>
      <x:c r="K96" s="3" t="str"/>
      <x:c r="L96" s="3"/>
      <x:c r="M96" s="3" t="str">
        <x:f>IF($B96="","",IFERROR(VLOOKUP($B96,Clinicas!$A$4:$R$205,16,FALSE),"Confirmar"))</x:f>
      </x:c>
      <x:c r="N96" s="3" t="str">
        <x:f>IF($B96="","",IFERROR(VLOOKUP($B96,Clinicas!$A$4:$R$205,13,FALSE),""))</x:f>
      </x:c>
      <x:c r="O96" s="3"/>
    </x:row>
    <x:row r="97">
      <x:c r="A97" s="5"/>
      <x:c r="B97" s="3" t="str"/>
      <x:c r="C97" s="3" t="str">
        <x:f>IF($B97="","",IFERROR(VLOOKUP($B97,Clinicas!$A$4:$R$205,2,FALSE),"ID nao cadastrado"))</x:f>
      </x:c>
      <x:c r="D97" s="3" t="str">
        <x:f>IF($B97="","",IFERROR(VLOOKUP($B97,Clinicas!$A$4:$R$205,4,FALSE),""))</x:f>
      </x:c>
      <x:c r="E97" s="3" t="str"/>
      <x:c r="F97" s="6" t="str"/>
      <x:c r="G97" s="6" t="str">
        <x:f>IF(OR($E97="",$F97=""),"",$F97/$E97)</x:f>
      </x:c>
      <x:c r="H97" s="3" t="str">
        <x:v>Exames de ultrassonografia veterinaria</x:v>
      </x:c>
      <x:c r="I97" s="3" t="str">
        <x:f>IF($A97="","",$H97&amp;" - "&amp;$E97&amp;" exame(s) realizado(s) em "&amp;TEXT($A97,"dd/mm/yyyy")&amp;". Valor referente ao Pix recebido em "&amp;TEXT($A97,"dd/mm/yyyy")&amp;".")</x:f>
      </x:c>
      <x:c r="J97" s="5" t="str">
        <x:f>IF($A97="","",$A97)</x:f>
      </x:c>
      <x:c r="K97" s="3" t="str"/>
      <x:c r="L97" s="3"/>
      <x:c r="M97" s="3" t="str">
        <x:f>IF($B97="","",IFERROR(VLOOKUP($B97,Clinicas!$A$4:$R$205,16,FALSE),"Confirmar"))</x:f>
      </x:c>
      <x:c r="N97" s="3" t="str">
        <x:f>IF($B97="","",IFERROR(VLOOKUP($B97,Clinicas!$A$4:$R$205,13,FALSE),""))</x:f>
      </x:c>
      <x:c r="O97" s="3"/>
    </x:row>
    <x:row r="98">
      <x:c r="A98" s="5"/>
      <x:c r="B98" s="3" t="str"/>
      <x:c r="C98" s="3" t="str">
        <x:f>IF($B98="","",IFERROR(VLOOKUP($B98,Clinicas!$A$4:$R$205,2,FALSE),"ID nao cadastrado"))</x:f>
      </x:c>
      <x:c r="D98" s="3" t="str">
        <x:f>IF($B98="","",IFERROR(VLOOKUP($B98,Clinicas!$A$4:$R$205,4,FALSE),""))</x:f>
      </x:c>
      <x:c r="E98" s="3" t="str"/>
      <x:c r="F98" s="6" t="str"/>
      <x:c r="G98" s="6" t="str">
        <x:f>IF(OR($E98="",$F98=""),"",$F98/$E98)</x:f>
      </x:c>
      <x:c r="H98" s="3" t="str">
        <x:v>Exames de ultrassonografia veterinaria</x:v>
      </x:c>
      <x:c r="I98" s="3" t="str">
        <x:f>IF($A98="","",$H98&amp;" - "&amp;$E98&amp;" exame(s) realizado(s) em "&amp;TEXT($A98,"dd/mm/yyyy")&amp;". Valor referente ao Pix recebido em "&amp;TEXT($A98,"dd/mm/yyyy")&amp;".")</x:f>
      </x:c>
      <x:c r="J98" s="5" t="str">
        <x:f>IF($A98="","",$A98)</x:f>
      </x:c>
      <x:c r="K98" s="3" t="str"/>
      <x:c r="L98" s="3"/>
      <x:c r="M98" s="3" t="str">
        <x:f>IF($B98="","",IFERROR(VLOOKUP($B98,Clinicas!$A$4:$R$205,16,FALSE),"Confirmar"))</x:f>
      </x:c>
      <x:c r="N98" s="3" t="str">
        <x:f>IF($B98="","",IFERROR(VLOOKUP($B98,Clinicas!$A$4:$R$205,13,FALSE),""))</x:f>
      </x:c>
      <x:c r="O98" s="3"/>
    </x:row>
    <x:row r="99">
      <x:c r="A99" s="5"/>
      <x:c r="B99" s="3" t="str"/>
      <x:c r="C99" s="3" t="str">
        <x:f>IF($B99="","",IFERROR(VLOOKUP($B99,Clinicas!$A$4:$R$205,2,FALSE),"ID nao cadastrado"))</x:f>
      </x:c>
      <x:c r="D99" s="3" t="str">
        <x:f>IF($B99="","",IFERROR(VLOOKUP($B99,Clinicas!$A$4:$R$205,4,FALSE),""))</x:f>
      </x:c>
      <x:c r="E99" s="3" t="str"/>
      <x:c r="F99" s="6" t="str"/>
      <x:c r="G99" s="6" t="str">
        <x:f>IF(OR($E99="",$F99=""),"",$F99/$E99)</x:f>
      </x:c>
      <x:c r="H99" s="3" t="str">
        <x:v>Exames de ultrassonografia veterinaria</x:v>
      </x:c>
      <x:c r="I99" s="3" t="str">
        <x:f>IF($A99="","",$H99&amp;" - "&amp;$E99&amp;" exame(s) realizado(s) em "&amp;TEXT($A99,"dd/mm/yyyy")&amp;". Valor referente ao Pix recebido em "&amp;TEXT($A99,"dd/mm/yyyy")&amp;".")</x:f>
      </x:c>
      <x:c r="J99" s="5" t="str">
        <x:f>IF($A99="","",$A99)</x:f>
      </x:c>
      <x:c r="K99" s="3" t="str"/>
      <x:c r="L99" s="3"/>
      <x:c r="M99" s="3" t="str">
        <x:f>IF($B99="","",IFERROR(VLOOKUP($B99,Clinicas!$A$4:$R$205,16,FALSE),"Confirmar"))</x:f>
      </x:c>
      <x:c r="N99" s="3" t="str">
        <x:f>IF($B99="","",IFERROR(VLOOKUP($B99,Clinicas!$A$4:$R$205,13,FALSE),""))</x:f>
      </x:c>
      <x:c r="O99" s="3"/>
    </x:row>
    <x:row r="100">
      <x:c r="A100" s="5"/>
      <x:c r="B100" s="3" t="str"/>
      <x:c r="C100" s="3" t="str">
        <x:f>IF($B100="","",IFERROR(VLOOKUP($B100,Clinicas!$A$4:$R$205,2,FALSE),"ID nao cadastrado"))</x:f>
      </x:c>
      <x:c r="D100" s="3" t="str">
        <x:f>IF($B100="","",IFERROR(VLOOKUP($B100,Clinicas!$A$4:$R$205,4,FALSE),""))</x:f>
      </x:c>
      <x:c r="E100" s="3" t="str"/>
      <x:c r="F100" s="6" t="str"/>
      <x:c r="G100" s="6" t="str">
        <x:f>IF(OR($E100="",$F100=""),"",$F100/$E100)</x:f>
      </x:c>
      <x:c r="H100" s="3" t="str">
        <x:v>Exames de ultrassonografia veterinaria</x:v>
      </x:c>
      <x:c r="I100" s="3" t="str">
        <x:f>IF($A100="","",$H100&amp;" - "&amp;$E100&amp;" exame(s) realizado(s) em "&amp;TEXT($A100,"dd/mm/yyyy")&amp;". Valor referente ao Pix recebido em "&amp;TEXT($A100,"dd/mm/yyyy")&amp;".")</x:f>
      </x:c>
      <x:c r="J100" s="5" t="str">
        <x:f>IF($A100="","",$A100)</x:f>
      </x:c>
      <x:c r="K100" s="3" t="str"/>
      <x:c r="L100" s="3"/>
      <x:c r="M100" s="3" t="str">
        <x:f>IF($B100="","",IFERROR(VLOOKUP($B100,Clinicas!$A$4:$R$205,16,FALSE),"Confirmar"))</x:f>
      </x:c>
      <x:c r="N100" s="3" t="str">
        <x:f>IF($B100="","",IFERROR(VLOOKUP($B100,Clinicas!$A$4:$R$205,13,FALSE),""))</x:f>
      </x:c>
      <x:c r="O100" s="3"/>
    </x:row>
    <x:row r="101">
      <x:c r="A101" s="5"/>
      <x:c r="B101" s="3" t="str"/>
      <x:c r="C101" s="3" t="str">
        <x:f>IF($B101="","",IFERROR(VLOOKUP($B101,Clinicas!$A$4:$R$205,2,FALSE),"ID nao cadastrado"))</x:f>
      </x:c>
      <x:c r="D101" s="3" t="str">
        <x:f>IF($B101="","",IFERROR(VLOOKUP($B101,Clinicas!$A$4:$R$205,4,FALSE),""))</x:f>
      </x:c>
      <x:c r="E101" s="3" t="str"/>
      <x:c r="F101" s="6" t="str"/>
      <x:c r="G101" s="6" t="str">
        <x:f>IF(OR($E101="",$F101=""),"",$F101/$E101)</x:f>
      </x:c>
      <x:c r="H101" s="3" t="str">
        <x:v>Exames de ultrassonografia veterinaria</x:v>
      </x:c>
      <x:c r="I101" s="3" t="str">
        <x:f>IF($A101="","",$H101&amp;" - "&amp;$E101&amp;" exame(s) realizado(s) em "&amp;TEXT($A101,"dd/mm/yyyy")&amp;". Valor referente ao Pix recebido em "&amp;TEXT($A101,"dd/mm/yyyy")&amp;".")</x:f>
      </x:c>
      <x:c r="J101" s="5" t="str">
        <x:f>IF($A101="","",$A101)</x:f>
      </x:c>
      <x:c r="K101" s="3" t="str"/>
      <x:c r="L101" s="3"/>
      <x:c r="M101" s="3" t="str">
        <x:f>IF($B101="","",IFERROR(VLOOKUP($B101,Clinicas!$A$4:$R$205,16,FALSE),"Confirmar"))</x:f>
      </x:c>
      <x:c r="N101" s="3" t="str">
        <x:f>IF($B101="","",IFERROR(VLOOKUP($B101,Clinicas!$A$4:$R$205,13,FALSE),""))</x:f>
      </x:c>
      <x:c r="O101" s="3"/>
    </x:row>
    <x:row r="102">
      <x:c r="A102" s="5"/>
      <x:c r="B102" s="3" t="str"/>
      <x:c r="C102" s="3" t="str">
        <x:f>IF($B102="","",IFERROR(VLOOKUP($B102,Clinicas!$A$4:$R$205,2,FALSE),"ID nao cadastrado"))</x:f>
      </x:c>
      <x:c r="D102" s="3" t="str">
        <x:f>IF($B102="","",IFERROR(VLOOKUP($B102,Clinicas!$A$4:$R$205,4,FALSE),""))</x:f>
      </x:c>
      <x:c r="E102" s="3" t="str"/>
      <x:c r="F102" s="6" t="str"/>
      <x:c r="G102" s="6" t="str">
        <x:f>IF(OR($E102="",$F102=""),"",$F102/$E102)</x:f>
      </x:c>
      <x:c r="H102" s="3" t="str">
        <x:v>Exames de ultrassonografia veterinaria</x:v>
      </x:c>
      <x:c r="I102" s="3" t="str">
        <x:f>IF($A102="","",$H102&amp;" - "&amp;$E102&amp;" exame(s) realizado(s) em "&amp;TEXT($A102,"dd/mm/yyyy")&amp;". Valor referente ao Pix recebido em "&amp;TEXT($A102,"dd/mm/yyyy")&amp;".")</x:f>
      </x:c>
      <x:c r="J102" s="5" t="str">
        <x:f>IF($A102="","",$A102)</x:f>
      </x:c>
      <x:c r="K102" s="3" t="str"/>
      <x:c r="L102" s="3"/>
      <x:c r="M102" s="3" t="str">
        <x:f>IF($B102="","",IFERROR(VLOOKUP($B102,Clinicas!$A$4:$R$205,16,FALSE),"Confirmar"))</x:f>
      </x:c>
      <x:c r="N102" s="3" t="str">
        <x:f>IF($B102="","",IFERROR(VLOOKUP($B102,Clinicas!$A$4:$R$205,13,FALSE),""))</x:f>
      </x:c>
      <x:c r="O102" s="3"/>
    </x:row>
    <x:row r="103">
      <x:c r="A103" s="5"/>
      <x:c r="B103" s="3" t="str"/>
      <x:c r="C103" s="3" t="str">
        <x:f>IF($B103="","",IFERROR(VLOOKUP($B103,Clinicas!$A$4:$R$205,2,FALSE),"ID nao cadastrado"))</x:f>
      </x:c>
      <x:c r="D103" s="3" t="str">
        <x:f>IF($B103="","",IFERROR(VLOOKUP($B103,Clinicas!$A$4:$R$205,4,FALSE),""))</x:f>
      </x:c>
      <x:c r="E103" s="3" t="str"/>
      <x:c r="F103" s="6" t="str"/>
      <x:c r="G103" s="6" t="str">
        <x:f>IF(OR($E103="",$F103=""),"",$F103/$E103)</x:f>
      </x:c>
      <x:c r="H103" s="3" t="str">
        <x:v>Exames de ultrassonografia veterinaria</x:v>
      </x:c>
      <x:c r="I103" s="3" t="str">
        <x:f>IF($A103="","",$H103&amp;" - "&amp;$E103&amp;" exame(s) realizado(s) em "&amp;TEXT($A103,"dd/mm/yyyy")&amp;". Valor referente ao Pix recebido em "&amp;TEXT($A103,"dd/mm/yyyy")&amp;".")</x:f>
      </x:c>
      <x:c r="J103" s="5" t="str">
        <x:f>IF($A103="","",$A103)</x:f>
      </x:c>
      <x:c r="K103" s="3" t="str"/>
      <x:c r="L103" s="3"/>
      <x:c r="M103" s="3" t="str">
        <x:f>IF($B103="","",IFERROR(VLOOKUP($B103,Clinicas!$A$4:$R$205,16,FALSE),"Confirmar"))</x:f>
      </x:c>
      <x:c r="N103" s="3" t="str">
        <x:f>IF($B103="","",IFERROR(VLOOKUP($B103,Clinicas!$A$4:$R$205,13,FALSE),""))</x:f>
      </x:c>
      <x:c r="O103" s="3"/>
    </x:row>
    <x:row r="104">
      <x:c r="A104" s="5"/>
      <x:c r="B104" s="3" t="str"/>
      <x:c r="C104" s="3" t="str">
        <x:f>IF($B104="","",IFERROR(VLOOKUP($B104,Clinicas!$A$4:$R$205,2,FALSE),"ID nao cadastrado"))</x:f>
      </x:c>
      <x:c r="D104" s="3" t="str">
        <x:f>IF($B104="","",IFERROR(VLOOKUP($B104,Clinicas!$A$4:$R$205,4,FALSE),""))</x:f>
      </x:c>
      <x:c r="E104" s="3" t="str"/>
      <x:c r="F104" s="6" t="str"/>
      <x:c r="G104" s="6" t="str">
        <x:f>IF(OR($E104="",$F104=""),"",$F104/$E104)</x:f>
      </x:c>
      <x:c r="H104" s="3" t="str">
        <x:v>Exames de ultrassonografia veterinaria</x:v>
      </x:c>
      <x:c r="I104" s="3" t="str">
        <x:f>IF($A104="","",$H104&amp;" - "&amp;$E104&amp;" exame(s) realizado(s) em "&amp;TEXT($A104,"dd/mm/yyyy")&amp;". Valor referente ao Pix recebido em "&amp;TEXT($A104,"dd/mm/yyyy")&amp;".")</x:f>
      </x:c>
      <x:c r="J104" s="5" t="str">
        <x:f>IF($A104="","",$A104)</x:f>
      </x:c>
      <x:c r="K104" s="3" t="str"/>
      <x:c r="L104" s="3"/>
      <x:c r="M104" s="3" t="str">
        <x:f>IF($B104="","",IFERROR(VLOOKUP($B104,Clinicas!$A$4:$R$205,16,FALSE),"Confirmar"))</x:f>
      </x:c>
      <x:c r="N104" s="3" t="str">
        <x:f>IF($B104="","",IFERROR(VLOOKUP($B104,Clinicas!$A$4:$R$205,13,FALSE),""))</x:f>
      </x:c>
      <x:c r="O104" s="3"/>
    </x:row>
    <x:row r="105">
      <x:c r="A105" s="5"/>
      <x:c r="B105" s="3" t="str"/>
      <x:c r="C105" s="3" t="str">
        <x:f>IF($B105="","",IFERROR(VLOOKUP($B105,Clinicas!$A$4:$R$205,2,FALSE),"ID nao cadastrado"))</x:f>
      </x:c>
      <x:c r="D105" s="3" t="str">
        <x:f>IF($B105="","",IFERROR(VLOOKUP($B105,Clinicas!$A$4:$R$205,4,FALSE),""))</x:f>
      </x:c>
      <x:c r="E105" s="3" t="str"/>
      <x:c r="F105" s="6" t="str"/>
      <x:c r="G105" s="6" t="str">
        <x:f>IF(OR($E105="",$F105=""),"",$F105/$E105)</x:f>
      </x:c>
      <x:c r="H105" s="3" t="str">
        <x:v>Exames de ultrassonografia veterinaria</x:v>
      </x:c>
      <x:c r="I105" s="3" t="str">
        <x:f>IF($A105="","",$H105&amp;" - "&amp;$E105&amp;" exame(s) realizado(s) em "&amp;TEXT($A105,"dd/mm/yyyy")&amp;". Valor referente ao Pix recebido em "&amp;TEXT($A105,"dd/mm/yyyy")&amp;".")</x:f>
      </x:c>
      <x:c r="J105" s="5" t="str">
        <x:f>IF($A105="","",$A105)</x:f>
      </x:c>
      <x:c r="K105" s="3" t="str"/>
      <x:c r="L105" s="3"/>
      <x:c r="M105" s="3" t="str">
        <x:f>IF($B105="","",IFERROR(VLOOKUP($B105,Clinicas!$A$4:$R$205,16,FALSE),"Confirmar"))</x:f>
      </x:c>
      <x:c r="N105" s="3" t="str">
        <x:f>IF($B105="","",IFERROR(VLOOKUP($B105,Clinicas!$A$4:$R$205,13,FALSE),""))</x:f>
      </x:c>
      <x:c r="O105" s="3"/>
    </x:row>
    <x:row r="106">
      <x:c r="A106" s="5"/>
      <x:c r="B106" s="3" t="str"/>
      <x:c r="C106" s="3" t="str">
        <x:f>IF($B106="","",IFERROR(VLOOKUP($B106,Clinicas!$A$4:$R$205,2,FALSE),"ID nao cadastrado"))</x:f>
      </x:c>
      <x:c r="D106" s="3" t="str">
        <x:f>IF($B106="","",IFERROR(VLOOKUP($B106,Clinicas!$A$4:$R$205,4,FALSE),""))</x:f>
      </x:c>
      <x:c r="E106" s="3" t="str"/>
      <x:c r="F106" s="6" t="str"/>
      <x:c r="G106" s="6" t="str">
        <x:f>IF(OR($E106="",$F106=""),"",$F106/$E106)</x:f>
      </x:c>
      <x:c r="H106" s="3" t="str">
        <x:v>Exames de ultrassonografia veterinaria</x:v>
      </x:c>
      <x:c r="I106" s="3" t="str">
        <x:f>IF($A106="","",$H106&amp;" - "&amp;$E106&amp;" exame(s) realizado(s) em "&amp;TEXT($A106,"dd/mm/yyyy")&amp;". Valor referente ao Pix recebido em "&amp;TEXT($A106,"dd/mm/yyyy")&amp;".")</x:f>
      </x:c>
      <x:c r="J106" s="5" t="str">
        <x:f>IF($A106="","",$A106)</x:f>
      </x:c>
      <x:c r="K106" s="3" t="str"/>
      <x:c r="L106" s="3"/>
      <x:c r="M106" s="3" t="str">
        <x:f>IF($B106="","",IFERROR(VLOOKUP($B106,Clinicas!$A$4:$R$205,16,FALSE),"Confirmar"))</x:f>
      </x:c>
      <x:c r="N106" s="3" t="str">
        <x:f>IF($B106="","",IFERROR(VLOOKUP($B106,Clinicas!$A$4:$R$205,13,FALSE),""))</x:f>
      </x:c>
      <x:c r="O106" s="3"/>
    </x:row>
    <x:row r="107">
      <x:c r="A107" s="5"/>
      <x:c r="B107" s="3" t="str"/>
      <x:c r="C107" s="3" t="str">
        <x:f>IF($B107="","",IFERROR(VLOOKUP($B107,Clinicas!$A$4:$R$205,2,FALSE),"ID nao cadastrado"))</x:f>
      </x:c>
      <x:c r="D107" s="3" t="str">
        <x:f>IF($B107="","",IFERROR(VLOOKUP($B107,Clinicas!$A$4:$R$205,4,FALSE),""))</x:f>
      </x:c>
      <x:c r="E107" s="3" t="str"/>
      <x:c r="F107" s="6" t="str"/>
      <x:c r="G107" s="6" t="str">
        <x:f>IF(OR($E107="",$F107=""),"",$F107/$E107)</x:f>
      </x:c>
      <x:c r="H107" s="3" t="str">
        <x:v>Exames de ultrassonografia veterinaria</x:v>
      </x:c>
      <x:c r="I107" s="3" t="str">
        <x:f>IF($A107="","",$H107&amp;" - "&amp;$E107&amp;" exame(s) realizado(s) em "&amp;TEXT($A107,"dd/mm/yyyy")&amp;". Valor referente ao Pix recebido em "&amp;TEXT($A107,"dd/mm/yyyy")&amp;".")</x:f>
      </x:c>
      <x:c r="J107" s="5" t="str">
        <x:f>IF($A107="","",$A107)</x:f>
      </x:c>
      <x:c r="K107" s="3" t="str"/>
      <x:c r="L107" s="3"/>
      <x:c r="M107" s="3" t="str">
        <x:f>IF($B107="","",IFERROR(VLOOKUP($B107,Clinicas!$A$4:$R$205,16,FALSE),"Confirmar"))</x:f>
      </x:c>
      <x:c r="N107" s="3" t="str">
        <x:f>IF($B107="","",IFERROR(VLOOKUP($B107,Clinicas!$A$4:$R$205,13,FALSE),""))</x:f>
      </x:c>
      <x:c r="O107" s="3"/>
    </x:row>
    <x:row r="108">
      <x:c r="A108" s="5"/>
      <x:c r="B108" s="3" t="str"/>
      <x:c r="C108" s="3" t="str">
        <x:f>IF($B108="","",IFERROR(VLOOKUP($B108,Clinicas!$A$4:$R$205,2,FALSE),"ID nao cadastrado"))</x:f>
      </x:c>
      <x:c r="D108" s="3" t="str">
        <x:f>IF($B108="","",IFERROR(VLOOKUP($B108,Clinicas!$A$4:$R$205,4,FALSE),""))</x:f>
      </x:c>
      <x:c r="E108" s="3" t="str"/>
      <x:c r="F108" s="6" t="str"/>
      <x:c r="G108" s="6" t="str">
        <x:f>IF(OR($E108="",$F108=""),"",$F108/$E108)</x:f>
      </x:c>
      <x:c r="H108" s="3" t="str">
        <x:v>Exames de ultrassonografia veterinaria</x:v>
      </x:c>
      <x:c r="I108" s="3" t="str">
        <x:f>IF($A108="","",$H108&amp;" - "&amp;$E108&amp;" exame(s) realizado(s) em "&amp;TEXT($A108,"dd/mm/yyyy")&amp;". Valor referente ao Pix recebido em "&amp;TEXT($A108,"dd/mm/yyyy")&amp;".")</x:f>
      </x:c>
      <x:c r="J108" s="5" t="str">
        <x:f>IF($A108="","",$A108)</x:f>
      </x:c>
      <x:c r="K108" s="3" t="str"/>
      <x:c r="L108" s="3"/>
      <x:c r="M108" s="3" t="str">
        <x:f>IF($B108="","",IFERROR(VLOOKUP($B108,Clinicas!$A$4:$R$205,16,FALSE),"Confirmar"))</x:f>
      </x:c>
      <x:c r="N108" s="3" t="str">
        <x:f>IF($B108="","",IFERROR(VLOOKUP($B108,Clinicas!$A$4:$R$205,13,FALSE),""))</x:f>
      </x:c>
      <x:c r="O108" s="3"/>
    </x:row>
    <x:row r="109">
      <x:c r="A109" s="5"/>
      <x:c r="B109" s="3" t="str"/>
      <x:c r="C109" s="3" t="str">
        <x:f>IF($B109="","",IFERROR(VLOOKUP($B109,Clinicas!$A$4:$R$205,2,FALSE),"ID nao cadastrado"))</x:f>
      </x:c>
      <x:c r="D109" s="3" t="str">
        <x:f>IF($B109="","",IFERROR(VLOOKUP($B109,Clinicas!$A$4:$R$205,4,FALSE),""))</x:f>
      </x:c>
      <x:c r="E109" s="3" t="str"/>
      <x:c r="F109" s="6" t="str"/>
      <x:c r="G109" s="6" t="str">
        <x:f>IF(OR($E109="",$F109=""),"",$F109/$E109)</x:f>
      </x:c>
      <x:c r="H109" s="3" t="str">
        <x:v>Exames de ultrassonografia veterinaria</x:v>
      </x:c>
      <x:c r="I109" s="3" t="str">
        <x:f>IF($A109="","",$H109&amp;" - "&amp;$E109&amp;" exame(s) realizado(s) em "&amp;TEXT($A109,"dd/mm/yyyy")&amp;". Valor referente ao Pix recebido em "&amp;TEXT($A109,"dd/mm/yyyy")&amp;".")</x:f>
      </x:c>
      <x:c r="J109" s="5" t="str">
        <x:f>IF($A109="","",$A109)</x:f>
      </x:c>
      <x:c r="K109" s="3" t="str"/>
      <x:c r="L109" s="3"/>
      <x:c r="M109" s="3" t="str">
        <x:f>IF($B109="","",IFERROR(VLOOKUP($B109,Clinicas!$A$4:$R$205,16,FALSE),"Confirmar"))</x:f>
      </x:c>
      <x:c r="N109" s="3" t="str">
        <x:f>IF($B109="","",IFERROR(VLOOKUP($B109,Clinicas!$A$4:$R$205,13,FALSE),""))</x:f>
      </x:c>
      <x:c r="O109" s="3"/>
    </x:row>
    <x:row r="110">
      <x:c r="A110" s="5"/>
      <x:c r="B110" s="3" t="str"/>
      <x:c r="C110" s="3" t="str">
        <x:f>IF($B110="","",IFERROR(VLOOKUP($B110,Clinicas!$A$4:$R$205,2,FALSE),"ID nao cadastrado"))</x:f>
      </x:c>
      <x:c r="D110" s="3" t="str">
        <x:f>IF($B110="","",IFERROR(VLOOKUP($B110,Clinicas!$A$4:$R$205,4,FALSE),""))</x:f>
      </x:c>
      <x:c r="E110" s="3" t="str"/>
      <x:c r="F110" s="6" t="str"/>
      <x:c r="G110" s="6" t="str">
        <x:f>IF(OR($E110="",$F110=""),"",$F110/$E110)</x:f>
      </x:c>
      <x:c r="H110" s="3" t="str">
        <x:v>Exames de ultrassonografia veterinaria</x:v>
      </x:c>
      <x:c r="I110" s="3" t="str">
        <x:f>IF($A110="","",$H110&amp;" - "&amp;$E110&amp;" exame(s) realizado(s) em "&amp;TEXT($A110,"dd/mm/yyyy")&amp;". Valor referente ao Pix recebido em "&amp;TEXT($A110,"dd/mm/yyyy")&amp;".")</x:f>
      </x:c>
      <x:c r="J110" s="5" t="str">
        <x:f>IF($A110="","",$A110)</x:f>
      </x:c>
      <x:c r="K110" s="3" t="str"/>
      <x:c r="L110" s="3"/>
      <x:c r="M110" s="3" t="str">
        <x:f>IF($B110="","",IFERROR(VLOOKUP($B110,Clinicas!$A$4:$R$205,16,FALSE),"Confirmar"))</x:f>
      </x:c>
      <x:c r="N110" s="3" t="str">
        <x:f>IF($B110="","",IFERROR(VLOOKUP($B110,Clinicas!$A$4:$R$205,13,FALSE),""))</x:f>
      </x:c>
      <x:c r="O110" s="3"/>
    </x:row>
    <x:row r="111">
      <x:c r="A111" s="5"/>
      <x:c r="B111" s="3" t="str"/>
      <x:c r="C111" s="3" t="str">
        <x:f>IF($B111="","",IFERROR(VLOOKUP($B111,Clinicas!$A$4:$R$205,2,FALSE),"ID nao cadastrado"))</x:f>
      </x:c>
      <x:c r="D111" s="3" t="str">
        <x:f>IF($B111="","",IFERROR(VLOOKUP($B111,Clinicas!$A$4:$R$205,4,FALSE),""))</x:f>
      </x:c>
      <x:c r="E111" s="3" t="str"/>
      <x:c r="F111" s="6" t="str"/>
      <x:c r="G111" s="6" t="str">
        <x:f>IF(OR($E111="",$F111=""),"",$F111/$E111)</x:f>
      </x:c>
      <x:c r="H111" s="3" t="str">
        <x:v>Exames de ultrassonografia veterinaria</x:v>
      </x:c>
      <x:c r="I111" s="3" t="str">
        <x:f>IF($A111="","",$H111&amp;" - "&amp;$E111&amp;" exame(s) realizado(s) em "&amp;TEXT($A111,"dd/mm/yyyy")&amp;". Valor referente ao Pix recebido em "&amp;TEXT($A111,"dd/mm/yyyy")&amp;".")</x:f>
      </x:c>
      <x:c r="J111" s="5" t="str">
        <x:f>IF($A111="","",$A111)</x:f>
      </x:c>
      <x:c r="K111" s="3" t="str"/>
      <x:c r="L111" s="3"/>
      <x:c r="M111" s="3" t="str">
        <x:f>IF($B111="","",IFERROR(VLOOKUP($B111,Clinicas!$A$4:$R$205,16,FALSE),"Confirmar"))</x:f>
      </x:c>
      <x:c r="N111" s="3" t="str">
        <x:f>IF($B111="","",IFERROR(VLOOKUP($B111,Clinicas!$A$4:$R$205,13,FALSE),""))</x:f>
      </x:c>
      <x:c r="O111" s="3"/>
    </x:row>
    <x:row r="112">
      <x:c r="A112" s="5"/>
      <x:c r="B112" s="3" t="str"/>
      <x:c r="C112" s="3" t="str">
        <x:f>IF($B112="","",IFERROR(VLOOKUP($B112,Clinicas!$A$4:$R$205,2,FALSE),"ID nao cadastrado"))</x:f>
      </x:c>
      <x:c r="D112" s="3" t="str">
        <x:f>IF($B112="","",IFERROR(VLOOKUP($B112,Clinicas!$A$4:$R$205,4,FALSE),""))</x:f>
      </x:c>
      <x:c r="E112" s="3" t="str"/>
      <x:c r="F112" s="6" t="str"/>
      <x:c r="G112" s="6" t="str">
        <x:f>IF(OR($E112="",$F112=""),"",$F112/$E112)</x:f>
      </x:c>
      <x:c r="H112" s="3" t="str">
        <x:v>Exames de ultrassonografia veterinaria</x:v>
      </x:c>
      <x:c r="I112" s="3" t="str">
        <x:f>IF($A112="","",$H112&amp;" - "&amp;$E112&amp;" exame(s) realizado(s) em "&amp;TEXT($A112,"dd/mm/yyyy")&amp;". Valor referente ao Pix recebido em "&amp;TEXT($A112,"dd/mm/yyyy")&amp;".")</x:f>
      </x:c>
      <x:c r="J112" s="5" t="str">
        <x:f>IF($A112="","",$A112)</x:f>
      </x:c>
      <x:c r="K112" s="3" t="str"/>
      <x:c r="L112" s="3"/>
      <x:c r="M112" s="3" t="str">
        <x:f>IF($B112="","",IFERROR(VLOOKUP($B112,Clinicas!$A$4:$R$205,16,FALSE),"Confirmar"))</x:f>
      </x:c>
      <x:c r="N112" s="3" t="str">
        <x:f>IF($B112="","",IFERROR(VLOOKUP($B112,Clinicas!$A$4:$R$205,13,FALSE),""))</x:f>
      </x:c>
      <x:c r="O112" s="3"/>
    </x:row>
    <x:row r="113">
      <x:c r="A113" s="5"/>
      <x:c r="B113" s="3" t="str"/>
      <x:c r="C113" s="3" t="str">
        <x:f>IF($B113="","",IFERROR(VLOOKUP($B113,Clinicas!$A$4:$R$205,2,FALSE),"ID nao cadastrado"))</x:f>
      </x:c>
      <x:c r="D113" s="3" t="str">
        <x:f>IF($B113="","",IFERROR(VLOOKUP($B113,Clinicas!$A$4:$R$205,4,FALSE),""))</x:f>
      </x:c>
      <x:c r="E113" s="3" t="str"/>
      <x:c r="F113" s="6" t="str"/>
      <x:c r="G113" s="6" t="str">
        <x:f>IF(OR($E113="",$F113=""),"",$F113/$E113)</x:f>
      </x:c>
      <x:c r="H113" s="3" t="str">
        <x:v>Exames de ultrassonografia veterinaria</x:v>
      </x:c>
      <x:c r="I113" s="3" t="str">
        <x:f>IF($A113="","",$H113&amp;" - "&amp;$E113&amp;" exame(s) realizado(s) em "&amp;TEXT($A113,"dd/mm/yyyy")&amp;". Valor referente ao Pix recebido em "&amp;TEXT($A113,"dd/mm/yyyy")&amp;".")</x:f>
      </x:c>
      <x:c r="J113" s="5" t="str">
        <x:f>IF($A113="","",$A113)</x:f>
      </x:c>
      <x:c r="K113" s="3" t="str"/>
      <x:c r="L113" s="3"/>
      <x:c r="M113" s="3" t="str">
        <x:f>IF($B113="","",IFERROR(VLOOKUP($B113,Clinicas!$A$4:$R$205,16,FALSE),"Confirmar"))</x:f>
      </x:c>
      <x:c r="N113" s="3" t="str">
        <x:f>IF($B113="","",IFERROR(VLOOKUP($B113,Clinicas!$A$4:$R$205,13,FALSE),""))</x:f>
      </x:c>
      <x:c r="O113" s="3"/>
    </x:row>
    <x:row r="114">
      <x:c r="A114" s="5"/>
      <x:c r="B114" s="3" t="str"/>
      <x:c r="C114" s="3" t="str">
        <x:f>IF($B114="","",IFERROR(VLOOKUP($B114,Clinicas!$A$4:$R$205,2,FALSE),"ID nao cadastrado"))</x:f>
      </x:c>
      <x:c r="D114" s="3" t="str">
        <x:f>IF($B114="","",IFERROR(VLOOKUP($B114,Clinicas!$A$4:$R$205,4,FALSE),""))</x:f>
      </x:c>
      <x:c r="E114" s="3" t="str"/>
      <x:c r="F114" s="6" t="str"/>
      <x:c r="G114" s="6" t="str">
        <x:f>IF(OR($E114="",$F114=""),"",$F114/$E114)</x:f>
      </x:c>
      <x:c r="H114" s="3" t="str">
        <x:v>Exames de ultrassonografia veterinaria</x:v>
      </x:c>
      <x:c r="I114" s="3" t="str">
        <x:f>IF($A114="","",$H114&amp;" - "&amp;$E114&amp;" exame(s) realizado(s) em "&amp;TEXT($A114,"dd/mm/yyyy")&amp;". Valor referente ao Pix recebido em "&amp;TEXT($A114,"dd/mm/yyyy")&amp;".")</x:f>
      </x:c>
      <x:c r="J114" s="5" t="str">
        <x:f>IF($A114="","",$A114)</x:f>
      </x:c>
      <x:c r="K114" s="3" t="str"/>
      <x:c r="L114" s="3"/>
      <x:c r="M114" s="3" t="str">
        <x:f>IF($B114="","",IFERROR(VLOOKUP($B114,Clinicas!$A$4:$R$205,16,FALSE),"Confirmar"))</x:f>
      </x:c>
      <x:c r="N114" s="3" t="str">
        <x:f>IF($B114="","",IFERROR(VLOOKUP($B114,Clinicas!$A$4:$R$205,13,FALSE),""))</x:f>
      </x:c>
      <x:c r="O114" s="3"/>
    </x:row>
    <x:row r="115">
      <x:c r="A115" s="5"/>
      <x:c r="B115" s="3" t="str"/>
      <x:c r="C115" s="3" t="str">
        <x:f>IF($B115="","",IFERROR(VLOOKUP($B115,Clinicas!$A$4:$R$205,2,FALSE),"ID nao cadastrado"))</x:f>
      </x:c>
      <x:c r="D115" s="3" t="str">
        <x:f>IF($B115="","",IFERROR(VLOOKUP($B115,Clinicas!$A$4:$R$205,4,FALSE),""))</x:f>
      </x:c>
      <x:c r="E115" s="3" t="str"/>
      <x:c r="F115" s="6" t="str"/>
      <x:c r="G115" s="6" t="str">
        <x:f>IF(OR($E115="",$F115=""),"",$F115/$E115)</x:f>
      </x:c>
      <x:c r="H115" s="3" t="str">
        <x:v>Exames de ultrassonografia veterinaria</x:v>
      </x:c>
      <x:c r="I115" s="3" t="str">
        <x:f>IF($A115="","",$H115&amp;" - "&amp;$E115&amp;" exame(s) realizado(s) em "&amp;TEXT($A115,"dd/mm/yyyy")&amp;". Valor referente ao Pix recebido em "&amp;TEXT($A115,"dd/mm/yyyy")&amp;".")</x:f>
      </x:c>
      <x:c r="J115" s="5" t="str">
        <x:f>IF($A115="","",$A115)</x:f>
      </x:c>
      <x:c r="K115" s="3" t="str"/>
      <x:c r="L115" s="3"/>
      <x:c r="M115" s="3" t="str">
        <x:f>IF($B115="","",IFERROR(VLOOKUP($B115,Clinicas!$A$4:$R$205,16,FALSE),"Confirmar"))</x:f>
      </x:c>
      <x:c r="N115" s="3" t="str">
        <x:f>IF($B115="","",IFERROR(VLOOKUP($B115,Clinicas!$A$4:$R$205,13,FALSE),""))</x:f>
      </x:c>
      <x:c r="O115" s="3"/>
    </x:row>
    <x:row r="116">
      <x:c r="A116" s="5"/>
      <x:c r="B116" s="3" t="str"/>
      <x:c r="C116" s="3" t="str">
        <x:f>IF($B116="","",IFERROR(VLOOKUP($B116,Clinicas!$A$4:$R$205,2,FALSE),"ID nao cadastrado"))</x:f>
      </x:c>
      <x:c r="D116" s="3" t="str">
        <x:f>IF($B116="","",IFERROR(VLOOKUP($B116,Clinicas!$A$4:$R$205,4,FALSE),""))</x:f>
      </x:c>
      <x:c r="E116" s="3" t="str"/>
      <x:c r="F116" s="6" t="str"/>
      <x:c r="G116" s="6" t="str">
        <x:f>IF(OR($E116="",$F116=""),"",$F116/$E116)</x:f>
      </x:c>
      <x:c r="H116" s="3" t="str">
        <x:v>Exames de ultrassonografia veterinaria</x:v>
      </x:c>
      <x:c r="I116" s="3" t="str">
        <x:f>IF($A116="","",$H116&amp;" - "&amp;$E116&amp;" exame(s) realizado(s) em "&amp;TEXT($A116,"dd/mm/yyyy")&amp;". Valor referente ao Pix recebido em "&amp;TEXT($A116,"dd/mm/yyyy")&amp;".")</x:f>
      </x:c>
      <x:c r="J116" s="5" t="str">
        <x:f>IF($A116="","",$A116)</x:f>
      </x:c>
      <x:c r="K116" s="3" t="str"/>
      <x:c r="L116" s="3"/>
      <x:c r="M116" s="3" t="str">
        <x:f>IF($B116="","",IFERROR(VLOOKUP($B116,Clinicas!$A$4:$R$205,16,FALSE),"Confirmar"))</x:f>
      </x:c>
      <x:c r="N116" s="3" t="str">
        <x:f>IF($B116="","",IFERROR(VLOOKUP($B116,Clinicas!$A$4:$R$205,13,FALSE),""))</x:f>
      </x:c>
      <x:c r="O116" s="3"/>
    </x:row>
    <x:row r="117">
      <x:c r="A117" s="5"/>
      <x:c r="B117" s="3" t="str"/>
      <x:c r="C117" s="3" t="str">
        <x:f>IF($B117="","",IFERROR(VLOOKUP($B117,Clinicas!$A$4:$R$205,2,FALSE),"ID nao cadastrado"))</x:f>
      </x:c>
      <x:c r="D117" s="3" t="str">
        <x:f>IF($B117="","",IFERROR(VLOOKUP($B117,Clinicas!$A$4:$R$205,4,FALSE),""))</x:f>
      </x:c>
      <x:c r="E117" s="3" t="str"/>
      <x:c r="F117" s="6" t="str"/>
      <x:c r="G117" s="6" t="str">
        <x:f>IF(OR($E117="",$F117=""),"",$F117/$E117)</x:f>
      </x:c>
      <x:c r="H117" s="3" t="str">
        <x:v>Exames de ultrassonografia veterinaria</x:v>
      </x:c>
      <x:c r="I117" s="3" t="str">
        <x:f>IF($A117="","",$H117&amp;" - "&amp;$E117&amp;" exame(s) realizado(s) em "&amp;TEXT($A117,"dd/mm/yyyy")&amp;". Valor referente ao Pix recebido em "&amp;TEXT($A117,"dd/mm/yyyy")&amp;".")</x:f>
      </x:c>
      <x:c r="J117" s="5" t="str">
        <x:f>IF($A117="","",$A117)</x:f>
      </x:c>
      <x:c r="K117" s="3" t="str"/>
      <x:c r="L117" s="3"/>
      <x:c r="M117" s="3" t="str">
        <x:f>IF($B117="","",IFERROR(VLOOKUP($B117,Clinicas!$A$4:$R$205,16,FALSE),"Confirmar"))</x:f>
      </x:c>
      <x:c r="N117" s="3" t="str">
        <x:f>IF($B117="","",IFERROR(VLOOKUP($B117,Clinicas!$A$4:$R$205,13,FALSE),""))</x:f>
      </x:c>
      <x:c r="O117" s="3"/>
    </x:row>
    <x:row r="118">
      <x:c r="A118" s="5"/>
      <x:c r="B118" s="3" t="str"/>
      <x:c r="C118" s="3" t="str">
        <x:f>IF($B118="","",IFERROR(VLOOKUP($B118,Clinicas!$A$4:$R$205,2,FALSE),"ID nao cadastrado"))</x:f>
      </x:c>
      <x:c r="D118" s="3" t="str">
        <x:f>IF($B118="","",IFERROR(VLOOKUP($B118,Clinicas!$A$4:$R$205,4,FALSE),""))</x:f>
      </x:c>
      <x:c r="E118" s="3" t="str"/>
      <x:c r="F118" s="6" t="str"/>
      <x:c r="G118" s="6" t="str">
        <x:f>IF(OR($E118="",$F118=""),"",$F118/$E118)</x:f>
      </x:c>
      <x:c r="H118" s="3" t="str">
        <x:v>Exames de ultrassonografia veterinaria</x:v>
      </x:c>
      <x:c r="I118" s="3" t="str">
        <x:f>IF($A118="","",$H118&amp;" - "&amp;$E118&amp;" exame(s) realizado(s) em "&amp;TEXT($A118,"dd/mm/yyyy")&amp;". Valor referente ao Pix recebido em "&amp;TEXT($A118,"dd/mm/yyyy")&amp;".")</x:f>
      </x:c>
      <x:c r="J118" s="5" t="str">
        <x:f>IF($A118="","",$A118)</x:f>
      </x:c>
      <x:c r="K118" s="3" t="str"/>
      <x:c r="L118" s="3"/>
      <x:c r="M118" s="3" t="str">
        <x:f>IF($B118="","",IFERROR(VLOOKUP($B118,Clinicas!$A$4:$R$205,16,FALSE),"Confirmar"))</x:f>
      </x:c>
      <x:c r="N118" s="3" t="str">
        <x:f>IF($B118="","",IFERROR(VLOOKUP($B118,Clinicas!$A$4:$R$205,13,FALSE),""))</x:f>
      </x:c>
      <x:c r="O118" s="3"/>
    </x:row>
    <x:row r="119">
      <x:c r="A119" s="5"/>
      <x:c r="B119" s="3" t="str"/>
      <x:c r="C119" s="3" t="str">
        <x:f>IF($B119="","",IFERROR(VLOOKUP($B119,Clinicas!$A$4:$R$205,2,FALSE),"ID nao cadastrado"))</x:f>
      </x:c>
      <x:c r="D119" s="3" t="str">
        <x:f>IF($B119="","",IFERROR(VLOOKUP($B119,Clinicas!$A$4:$R$205,4,FALSE),""))</x:f>
      </x:c>
      <x:c r="E119" s="3" t="str"/>
      <x:c r="F119" s="6" t="str"/>
      <x:c r="G119" s="6" t="str">
        <x:f>IF(OR($E119="",$F119=""),"",$F119/$E119)</x:f>
      </x:c>
      <x:c r="H119" s="3" t="str">
        <x:v>Exames de ultrassonografia veterinaria</x:v>
      </x:c>
      <x:c r="I119" s="3" t="str">
        <x:f>IF($A119="","",$H119&amp;" - "&amp;$E119&amp;" exame(s) realizado(s) em "&amp;TEXT($A119,"dd/mm/yyyy")&amp;". Valor referente ao Pix recebido em "&amp;TEXT($A119,"dd/mm/yyyy")&amp;".")</x:f>
      </x:c>
      <x:c r="J119" s="5" t="str">
        <x:f>IF($A119="","",$A119)</x:f>
      </x:c>
      <x:c r="K119" s="3" t="str"/>
      <x:c r="L119" s="3"/>
      <x:c r="M119" s="3" t="str">
        <x:f>IF($B119="","",IFERROR(VLOOKUP($B119,Clinicas!$A$4:$R$205,16,FALSE),"Confirmar"))</x:f>
      </x:c>
      <x:c r="N119" s="3" t="str">
        <x:f>IF($B119="","",IFERROR(VLOOKUP($B119,Clinicas!$A$4:$R$205,13,FALSE),""))</x:f>
      </x:c>
      <x:c r="O119" s="3"/>
    </x:row>
    <x:row r="120">
      <x:c r="A120" s="5"/>
      <x:c r="B120" s="3" t="str"/>
      <x:c r="C120" s="3" t="str">
        <x:f>IF($B120="","",IFERROR(VLOOKUP($B120,Clinicas!$A$4:$R$205,2,FALSE),"ID nao cadastrado"))</x:f>
      </x:c>
      <x:c r="D120" s="3" t="str">
        <x:f>IF($B120="","",IFERROR(VLOOKUP($B120,Clinicas!$A$4:$R$205,4,FALSE),""))</x:f>
      </x:c>
      <x:c r="E120" s="3" t="str"/>
      <x:c r="F120" s="6" t="str"/>
      <x:c r="G120" s="6" t="str">
        <x:f>IF(OR($E120="",$F120=""),"",$F120/$E120)</x:f>
      </x:c>
      <x:c r="H120" s="3" t="str">
        <x:v>Exames de ultrassonografia veterinaria</x:v>
      </x:c>
      <x:c r="I120" s="3" t="str">
        <x:f>IF($A120="","",$H120&amp;" - "&amp;$E120&amp;" exame(s) realizado(s) em "&amp;TEXT($A120,"dd/mm/yyyy")&amp;". Valor referente ao Pix recebido em "&amp;TEXT($A120,"dd/mm/yyyy")&amp;".")</x:f>
      </x:c>
      <x:c r="J120" s="5" t="str">
        <x:f>IF($A120="","",$A120)</x:f>
      </x:c>
      <x:c r="K120" s="3" t="str"/>
      <x:c r="L120" s="3"/>
      <x:c r="M120" s="3" t="str">
        <x:f>IF($B120="","",IFERROR(VLOOKUP($B120,Clinicas!$A$4:$R$205,16,FALSE),"Confirmar"))</x:f>
      </x:c>
      <x:c r="N120" s="3" t="str">
        <x:f>IF($B120="","",IFERROR(VLOOKUP($B120,Clinicas!$A$4:$R$205,13,FALSE),""))</x:f>
      </x:c>
      <x:c r="O120" s="3"/>
    </x:row>
    <x:row r="121">
      <x:c r="A121" s="5"/>
      <x:c r="B121" s="3" t="str"/>
      <x:c r="C121" s="3" t="str">
        <x:f>IF($B121="","",IFERROR(VLOOKUP($B121,Clinicas!$A$4:$R$205,2,FALSE),"ID nao cadastrado"))</x:f>
      </x:c>
      <x:c r="D121" s="3" t="str">
        <x:f>IF($B121="","",IFERROR(VLOOKUP($B121,Clinicas!$A$4:$R$205,4,FALSE),""))</x:f>
      </x:c>
      <x:c r="E121" s="3" t="str"/>
      <x:c r="F121" s="6" t="str"/>
      <x:c r="G121" s="6" t="str">
        <x:f>IF(OR($E121="",$F121=""),"",$F121/$E121)</x:f>
      </x:c>
      <x:c r="H121" s="3" t="str">
        <x:v>Exames de ultrassonografia veterinaria</x:v>
      </x:c>
      <x:c r="I121" s="3" t="str">
        <x:f>IF($A121="","",$H121&amp;" - "&amp;$E121&amp;" exame(s) realizado(s) em "&amp;TEXT($A121,"dd/mm/yyyy")&amp;". Valor referente ao Pix recebido em "&amp;TEXT($A121,"dd/mm/yyyy")&amp;".")</x:f>
      </x:c>
      <x:c r="J121" s="5" t="str">
        <x:f>IF($A121="","",$A121)</x:f>
      </x:c>
      <x:c r="K121" s="3" t="str"/>
      <x:c r="L121" s="3"/>
      <x:c r="M121" s="3" t="str">
        <x:f>IF($B121="","",IFERROR(VLOOKUP($B121,Clinicas!$A$4:$R$205,16,FALSE),"Confirmar"))</x:f>
      </x:c>
      <x:c r="N121" s="3" t="str">
        <x:f>IF($B121="","",IFERROR(VLOOKUP($B121,Clinicas!$A$4:$R$205,13,FALSE),""))</x:f>
      </x:c>
      <x:c r="O121" s="3"/>
    </x:row>
    <x:row r="122">
      <x:c r="A122" s="5"/>
      <x:c r="B122" s="3" t="str"/>
      <x:c r="C122" s="3" t="str">
        <x:f>IF($B122="","",IFERROR(VLOOKUP($B122,Clinicas!$A$4:$R$205,2,FALSE),"ID nao cadastrado"))</x:f>
      </x:c>
      <x:c r="D122" s="3" t="str">
        <x:f>IF($B122="","",IFERROR(VLOOKUP($B122,Clinicas!$A$4:$R$205,4,FALSE),""))</x:f>
      </x:c>
      <x:c r="E122" s="3" t="str"/>
      <x:c r="F122" s="6" t="str"/>
      <x:c r="G122" s="6" t="str">
        <x:f>IF(OR($E122="",$F122=""),"",$F122/$E122)</x:f>
      </x:c>
      <x:c r="H122" s="3" t="str">
        <x:v>Exames de ultrassonografia veterinaria</x:v>
      </x:c>
      <x:c r="I122" s="3" t="str">
        <x:f>IF($A122="","",$H122&amp;" - "&amp;$E122&amp;" exame(s) realizado(s) em "&amp;TEXT($A122,"dd/mm/yyyy")&amp;". Valor referente ao Pix recebido em "&amp;TEXT($A122,"dd/mm/yyyy")&amp;".")</x:f>
      </x:c>
      <x:c r="J122" s="5" t="str">
        <x:f>IF($A122="","",$A122)</x:f>
      </x:c>
      <x:c r="K122" s="3" t="str"/>
      <x:c r="L122" s="3"/>
      <x:c r="M122" s="3" t="str">
        <x:f>IF($B122="","",IFERROR(VLOOKUP($B122,Clinicas!$A$4:$R$205,16,FALSE),"Confirmar"))</x:f>
      </x:c>
      <x:c r="N122" s="3" t="str">
        <x:f>IF($B122="","",IFERROR(VLOOKUP($B122,Clinicas!$A$4:$R$205,13,FALSE),""))</x:f>
      </x:c>
      <x:c r="O122" s="3"/>
    </x:row>
    <x:row r="123">
      <x:c r="A123" s="5"/>
      <x:c r="B123" s="3" t="str"/>
      <x:c r="C123" s="3" t="str">
        <x:f>IF($B123="","",IFERROR(VLOOKUP($B123,Clinicas!$A$4:$R$205,2,FALSE),"ID nao cadastrado"))</x:f>
      </x:c>
      <x:c r="D123" s="3" t="str">
        <x:f>IF($B123="","",IFERROR(VLOOKUP($B123,Clinicas!$A$4:$R$205,4,FALSE),""))</x:f>
      </x:c>
      <x:c r="E123" s="3" t="str"/>
      <x:c r="F123" s="6" t="str"/>
      <x:c r="G123" s="6" t="str">
        <x:f>IF(OR($E123="",$F123=""),"",$F123/$E123)</x:f>
      </x:c>
      <x:c r="H123" s="3" t="str">
        <x:v>Exames de ultrassonografia veterinaria</x:v>
      </x:c>
      <x:c r="I123" s="3" t="str">
        <x:f>IF($A123="","",$H123&amp;" - "&amp;$E123&amp;" exame(s) realizado(s) em "&amp;TEXT($A123,"dd/mm/yyyy")&amp;". Valor referente ao Pix recebido em "&amp;TEXT($A123,"dd/mm/yyyy")&amp;".")</x:f>
      </x:c>
      <x:c r="J123" s="5" t="str">
        <x:f>IF($A123="","",$A123)</x:f>
      </x:c>
      <x:c r="K123" s="3" t="str"/>
      <x:c r="L123" s="3"/>
      <x:c r="M123" s="3" t="str">
        <x:f>IF($B123="","",IFERROR(VLOOKUP($B123,Clinicas!$A$4:$R$205,16,FALSE),"Confirmar"))</x:f>
      </x:c>
      <x:c r="N123" s="3" t="str">
        <x:f>IF($B123="","",IFERROR(VLOOKUP($B123,Clinicas!$A$4:$R$205,13,FALSE),""))</x:f>
      </x:c>
      <x:c r="O123" s="3"/>
    </x:row>
    <x:row r="124">
      <x:c r="A124" s="5"/>
      <x:c r="B124" s="3" t="str"/>
      <x:c r="C124" s="3" t="str">
        <x:f>IF($B124="","",IFERROR(VLOOKUP($B124,Clinicas!$A$4:$R$205,2,FALSE),"ID nao cadastrado"))</x:f>
      </x:c>
      <x:c r="D124" s="3" t="str">
        <x:f>IF($B124="","",IFERROR(VLOOKUP($B124,Clinicas!$A$4:$R$205,4,FALSE),""))</x:f>
      </x:c>
      <x:c r="E124" s="3" t="str"/>
      <x:c r="F124" s="6" t="str"/>
      <x:c r="G124" s="6" t="str">
        <x:f>IF(OR($E124="",$F124=""),"",$F124/$E124)</x:f>
      </x:c>
      <x:c r="H124" s="3" t="str">
        <x:v>Exames de ultrassonografia veterinaria</x:v>
      </x:c>
      <x:c r="I124" s="3" t="str">
        <x:f>IF($A124="","",$H124&amp;" - "&amp;$E124&amp;" exame(s) realizado(s) em "&amp;TEXT($A124,"dd/mm/yyyy")&amp;". Valor referente ao Pix recebido em "&amp;TEXT($A124,"dd/mm/yyyy")&amp;".")</x:f>
      </x:c>
      <x:c r="J124" s="5" t="str">
        <x:f>IF($A124="","",$A124)</x:f>
      </x:c>
      <x:c r="K124" s="3" t="str"/>
      <x:c r="L124" s="3"/>
      <x:c r="M124" s="3" t="str">
        <x:f>IF($B124="","",IFERROR(VLOOKUP($B124,Clinicas!$A$4:$R$205,16,FALSE),"Confirmar"))</x:f>
      </x:c>
      <x:c r="N124" s="3" t="str">
        <x:f>IF($B124="","",IFERROR(VLOOKUP($B124,Clinicas!$A$4:$R$205,13,FALSE),""))</x:f>
      </x:c>
      <x:c r="O124" s="3"/>
    </x:row>
    <x:row r="125">
      <x:c r="A125" s="5"/>
      <x:c r="B125" s="3" t="str"/>
      <x:c r="C125" s="3" t="str">
        <x:f>IF($B125="","",IFERROR(VLOOKUP($B125,Clinicas!$A$4:$R$205,2,FALSE),"ID nao cadastrado"))</x:f>
      </x:c>
      <x:c r="D125" s="3" t="str">
        <x:f>IF($B125="","",IFERROR(VLOOKUP($B125,Clinicas!$A$4:$R$205,4,FALSE),""))</x:f>
      </x:c>
      <x:c r="E125" s="3" t="str"/>
      <x:c r="F125" s="6" t="str"/>
      <x:c r="G125" s="6" t="str">
        <x:f>IF(OR($E125="",$F125=""),"",$F125/$E125)</x:f>
      </x:c>
      <x:c r="H125" s="3" t="str">
        <x:v>Exames de ultrassonografia veterinaria</x:v>
      </x:c>
      <x:c r="I125" s="3" t="str">
        <x:f>IF($A125="","",$H125&amp;" - "&amp;$E125&amp;" exame(s) realizado(s) em "&amp;TEXT($A125,"dd/mm/yyyy")&amp;". Valor referente ao Pix recebido em "&amp;TEXT($A125,"dd/mm/yyyy")&amp;".")</x:f>
      </x:c>
      <x:c r="J125" s="5" t="str">
        <x:f>IF($A125="","",$A125)</x:f>
      </x:c>
      <x:c r="K125" s="3" t="str"/>
      <x:c r="L125" s="3"/>
      <x:c r="M125" s="3" t="str">
        <x:f>IF($B125="","",IFERROR(VLOOKUP($B125,Clinicas!$A$4:$R$205,16,FALSE),"Confirmar"))</x:f>
      </x:c>
      <x:c r="N125" s="3" t="str">
        <x:f>IF($B125="","",IFERROR(VLOOKUP($B125,Clinicas!$A$4:$R$205,13,FALSE),""))</x:f>
      </x:c>
      <x:c r="O125" s="3"/>
    </x:row>
    <x:row r="126">
      <x:c r="A126" s="5"/>
      <x:c r="B126" s="3" t="str"/>
      <x:c r="C126" s="3" t="str">
        <x:f>IF($B126="","",IFERROR(VLOOKUP($B126,Clinicas!$A$4:$R$205,2,FALSE),"ID nao cadastrado"))</x:f>
      </x:c>
      <x:c r="D126" s="3" t="str">
        <x:f>IF($B126="","",IFERROR(VLOOKUP($B126,Clinicas!$A$4:$R$205,4,FALSE),""))</x:f>
      </x:c>
      <x:c r="E126" s="3" t="str"/>
      <x:c r="F126" s="6" t="str"/>
      <x:c r="G126" s="6" t="str">
        <x:f>IF(OR($E126="",$F126=""),"",$F126/$E126)</x:f>
      </x:c>
      <x:c r="H126" s="3" t="str">
        <x:v>Exames de ultrassonografia veterinaria</x:v>
      </x:c>
      <x:c r="I126" s="3" t="str">
        <x:f>IF($A126="","",$H126&amp;" - "&amp;$E126&amp;" exame(s) realizado(s) em "&amp;TEXT($A126,"dd/mm/yyyy")&amp;". Valor referente ao Pix recebido em "&amp;TEXT($A126,"dd/mm/yyyy")&amp;".")</x:f>
      </x:c>
      <x:c r="J126" s="5" t="str">
        <x:f>IF($A126="","",$A126)</x:f>
      </x:c>
      <x:c r="K126" s="3" t="str"/>
      <x:c r="L126" s="3"/>
      <x:c r="M126" s="3" t="str">
        <x:f>IF($B126="","",IFERROR(VLOOKUP($B126,Clinicas!$A$4:$R$205,16,FALSE),"Confirmar"))</x:f>
      </x:c>
      <x:c r="N126" s="3" t="str">
        <x:f>IF($B126="","",IFERROR(VLOOKUP($B126,Clinicas!$A$4:$R$205,13,FALSE),""))</x:f>
      </x:c>
      <x:c r="O126" s="3"/>
    </x:row>
    <x:row r="127">
      <x:c r="A127" s="5"/>
      <x:c r="B127" s="3" t="str"/>
      <x:c r="C127" s="3" t="str">
        <x:f>IF($B127="","",IFERROR(VLOOKUP($B127,Clinicas!$A$4:$R$205,2,FALSE),"ID nao cadastrado"))</x:f>
      </x:c>
      <x:c r="D127" s="3" t="str">
        <x:f>IF($B127="","",IFERROR(VLOOKUP($B127,Clinicas!$A$4:$R$205,4,FALSE),""))</x:f>
      </x:c>
      <x:c r="E127" s="3" t="str"/>
      <x:c r="F127" s="6" t="str"/>
      <x:c r="G127" s="6" t="str">
        <x:f>IF(OR($E127="",$F127=""),"",$F127/$E127)</x:f>
      </x:c>
      <x:c r="H127" s="3" t="str">
        <x:v>Exames de ultrassonografia veterinaria</x:v>
      </x:c>
      <x:c r="I127" s="3" t="str">
        <x:f>IF($A127="","",$H127&amp;" - "&amp;$E127&amp;" exame(s) realizado(s) em "&amp;TEXT($A127,"dd/mm/yyyy")&amp;". Valor referente ao Pix recebido em "&amp;TEXT($A127,"dd/mm/yyyy")&amp;".")</x:f>
      </x:c>
      <x:c r="J127" s="5" t="str">
        <x:f>IF($A127="","",$A127)</x:f>
      </x:c>
      <x:c r="K127" s="3" t="str"/>
      <x:c r="L127" s="3"/>
      <x:c r="M127" s="3" t="str">
        <x:f>IF($B127="","",IFERROR(VLOOKUP($B127,Clinicas!$A$4:$R$205,16,FALSE),"Confirmar"))</x:f>
      </x:c>
      <x:c r="N127" s="3" t="str">
        <x:f>IF($B127="","",IFERROR(VLOOKUP($B127,Clinicas!$A$4:$R$205,13,FALSE),""))</x:f>
      </x:c>
      <x:c r="O127" s="3"/>
    </x:row>
    <x:row r="128">
      <x:c r="A128" s="5"/>
      <x:c r="B128" s="3" t="str"/>
      <x:c r="C128" s="3" t="str">
        <x:f>IF($B128="","",IFERROR(VLOOKUP($B128,Clinicas!$A$4:$R$205,2,FALSE),"ID nao cadastrado"))</x:f>
      </x:c>
      <x:c r="D128" s="3" t="str">
        <x:f>IF($B128="","",IFERROR(VLOOKUP($B128,Clinicas!$A$4:$R$205,4,FALSE),""))</x:f>
      </x:c>
      <x:c r="E128" s="3" t="str"/>
      <x:c r="F128" s="6" t="str"/>
      <x:c r="G128" s="6" t="str">
        <x:f>IF(OR($E128="",$F128=""),"",$F128/$E128)</x:f>
      </x:c>
      <x:c r="H128" s="3" t="str">
        <x:v>Exames de ultrassonografia veterinaria</x:v>
      </x:c>
      <x:c r="I128" s="3" t="str">
        <x:f>IF($A128="","",$H128&amp;" - "&amp;$E128&amp;" exame(s) realizado(s) em "&amp;TEXT($A128,"dd/mm/yyyy")&amp;". Valor referente ao Pix recebido em "&amp;TEXT($A128,"dd/mm/yyyy")&amp;".")</x:f>
      </x:c>
      <x:c r="J128" s="5" t="str">
        <x:f>IF($A128="","",$A128)</x:f>
      </x:c>
      <x:c r="K128" s="3" t="str"/>
      <x:c r="L128" s="3"/>
      <x:c r="M128" s="3" t="str">
        <x:f>IF($B128="","",IFERROR(VLOOKUP($B128,Clinicas!$A$4:$R$205,16,FALSE),"Confirmar"))</x:f>
      </x:c>
      <x:c r="N128" s="3" t="str">
        <x:f>IF($B128="","",IFERROR(VLOOKUP($B128,Clinicas!$A$4:$R$205,13,FALSE),""))</x:f>
      </x:c>
      <x:c r="O128" s="3"/>
    </x:row>
    <x:row r="129">
      <x:c r="A129" s="5"/>
      <x:c r="B129" s="3" t="str"/>
      <x:c r="C129" s="3" t="str">
        <x:f>IF($B129="","",IFERROR(VLOOKUP($B129,Clinicas!$A$4:$R$205,2,FALSE),"ID nao cadastrado"))</x:f>
      </x:c>
      <x:c r="D129" s="3" t="str">
        <x:f>IF($B129="","",IFERROR(VLOOKUP($B129,Clinicas!$A$4:$R$205,4,FALSE),""))</x:f>
      </x:c>
      <x:c r="E129" s="3" t="str"/>
      <x:c r="F129" s="6" t="str"/>
      <x:c r="G129" s="6" t="str">
        <x:f>IF(OR($E129="",$F129=""),"",$F129/$E129)</x:f>
      </x:c>
      <x:c r="H129" s="3" t="str">
        <x:v>Exames de ultrassonografia veterinaria</x:v>
      </x:c>
      <x:c r="I129" s="3" t="str">
        <x:f>IF($A129="","",$H129&amp;" - "&amp;$E129&amp;" exame(s) realizado(s) em "&amp;TEXT($A129,"dd/mm/yyyy")&amp;". Valor referente ao Pix recebido em "&amp;TEXT($A129,"dd/mm/yyyy")&amp;".")</x:f>
      </x:c>
      <x:c r="J129" s="5" t="str">
        <x:f>IF($A129="","",$A129)</x:f>
      </x:c>
      <x:c r="K129" s="3" t="str"/>
      <x:c r="L129" s="3"/>
      <x:c r="M129" s="3" t="str">
        <x:f>IF($B129="","",IFERROR(VLOOKUP($B129,Clinicas!$A$4:$R$205,16,FALSE),"Confirmar"))</x:f>
      </x:c>
      <x:c r="N129" s="3" t="str">
        <x:f>IF($B129="","",IFERROR(VLOOKUP($B129,Clinicas!$A$4:$R$205,13,FALSE),""))</x:f>
      </x:c>
      <x:c r="O129" s="3"/>
    </x:row>
    <x:row r="130">
      <x:c r="A130" s="5"/>
      <x:c r="B130" s="3" t="str"/>
      <x:c r="C130" s="3" t="str">
        <x:f>IF($B130="","",IFERROR(VLOOKUP($B130,Clinicas!$A$4:$R$205,2,FALSE),"ID nao cadastrado"))</x:f>
      </x:c>
      <x:c r="D130" s="3" t="str">
        <x:f>IF($B130="","",IFERROR(VLOOKUP($B130,Clinicas!$A$4:$R$205,4,FALSE),""))</x:f>
      </x:c>
      <x:c r="E130" s="3" t="str"/>
      <x:c r="F130" s="6" t="str"/>
      <x:c r="G130" s="6" t="str">
        <x:f>IF(OR($E130="",$F130=""),"",$F130/$E130)</x:f>
      </x:c>
      <x:c r="H130" s="3" t="str">
        <x:v>Exames de ultrassonografia veterinaria</x:v>
      </x:c>
      <x:c r="I130" s="3" t="str">
        <x:f>IF($A130="","",$H130&amp;" - "&amp;$E130&amp;" exame(s) realizado(s) em "&amp;TEXT($A130,"dd/mm/yyyy")&amp;". Valor referente ao Pix recebido em "&amp;TEXT($A130,"dd/mm/yyyy")&amp;".")</x:f>
      </x:c>
      <x:c r="J130" s="5" t="str">
        <x:f>IF($A130="","",$A130)</x:f>
      </x:c>
      <x:c r="K130" s="3" t="str"/>
      <x:c r="L130" s="3"/>
      <x:c r="M130" s="3" t="str">
        <x:f>IF($B130="","",IFERROR(VLOOKUP($B130,Clinicas!$A$4:$R$205,16,FALSE),"Confirmar"))</x:f>
      </x:c>
      <x:c r="N130" s="3" t="str">
        <x:f>IF($B130="","",IFERROR(VLOOKUP($B130,Clinicas!$A$4:$R$205,13,FALSE),""))</x:f>
      </x:c>
      <x:c r="O130" s="3"/>
    </x:row>
    <x:row r="131">
      <x:c r="A131" s="5"/>
      <x:c r="B131" s="3" t="str"/>
      <x:c r="C131" s="3" t="str">
        <x:f>IF($B131="","",IFERROR(VLOOKUP($B131,Clinicas!$A$4:$R$205,2,FALSE),"ID nao cadastrado"))</x:f>
      </x:c>
      <x:c r="D131" s="3" t="str">
        <x:f>IF($B131="","",IFERROR(VLOOKUP($B131,Clinicas!$A$4:$R$205,4,FALSE),""))</x:f>
      </x:c>
      <x:c r="E131" s="3" t="str"/>
      <x:c r="F131" s="6" t="str"/>
      <x:c r="G131" s="6" t="str">
        <x:f>IF(OR($E131="",$F131=""),"",$F131/$E131)</x:f>
      </x:c>
      <x:c r="H131" s="3" t="str">
        <x:v>Exames de ultrassonografia veterinaria</x:v>
      </x:c>
      <x:c r="I131" s="3" t="str">
        <x:f>IF($A131="","",$H131&amp;" - "&amp;$E131&amp;" exame(s) realizado(s) em "&amp;TEXT($A131,"dd/mm/yyyy")&amp;". Valor referente ao Pix recebido em "&amp;TEXT($A131,"dd/mm/yyyy")&amp;".")</x:f>
      </x:c>
      <x:c r="J131" s="5" t="str">
        <x:f>IF($A131="","",$A131)</x:f>
      </x:c>
      <x:c r="K131" s="3" t="str"/>
      <x:c r="L131" s="3"/>
      <x:c r="M131" s="3" t="str">
        <x:f>IF($B131="","",IFERROR(VLOOKUP($B131,Clinicas!$A$4:$R$205,16,FALSE),"Confirmar"))</x:f>
      </x:c>
      <x:c r="N131" s="3" t="str">
        <x:f>IF($B131="","",IFERROR(VLOOKUP($B131,Clinicas!$A$4:$R$205,13,FALSE),""))</x:f>
      </x:c>
      <x:c r="O131" s="3"/>
    </x:row>
    <x:row r="132">
      <x:c r="A132" s="5"/>
      <x:c r="B132" s="3" t="str"/>
      <x:c r="C132" s="3" t="str">
        <x:f>IF($B132="","",IFERROR(VLOOKUP($B132,Clinicas!$A$4:$R$205,2,FALSE),"ID nao cadastrado"))</x:f>
      </x:c>
      <x:c r="D132" s="3" t="str">
        <x:f>IF($B132="","",IFERROR(VLOOKUP($B132,Clinicas!$A$4:$R$205,4,FALSE),""))</x:f>
      </x:c>
      <x:c r="E132" s="3" t="str"/>
      <x:c r="F132" s="6" t="str"/>
      <x:c r="G132" s="6" t="str">
        <x:f>IF(OR($E132="",$F132=""),"",$F132/$E132)</x:f>
      </x:c>
      <x:c r="H132" s="3" t="str">
        <x:v>Exames de ultrassonografia veterinaria</x:v>
      </x:c>
      <x:c r="I132" s="3" t="str">
        <x:f>IF($A132="","",$H132&amp;" - "&amp;$E132&amp;" exame(s) realizado(s) em "&amp;TEXT($A132,"dd/mm/yyyy")&amp;". Valor referente ao Pix recebido em "&amp;TEXT($A132,"dd/mm/yyyy")&amp;".")</x:f>
      </x:c>
      <x:c r="J132" s="5" t="str">
        <x:f>IF($A132="","",$A132)</x:f>
      </x:c>
      <x:c r="K132" s="3" t="str"/>
      <x:c r="L132" s="3"/>
      <x:c r="M132" s="3" t="str">
        <x:f>IF($B132="","",IFERROR(VLOOKUP($B132,Clinicas!$A$4:$R$205,16,FALSE),"Confirmar"))</x:f>
      </x:c>
      <x:c r="N132" s="3" t="str">
        <x:f>IF($B132="","",IFERROR(VLOOKUP($B132,Clinicas!$A$4:$R$205,13,FALSE),""))</x:f>
      </x:c>
      <x:c r="O132" s="3"/>
    </x:row>
    <x:row r="133">
      <x:c r="A133" s="5"/>
      <x:c r="B133" s="3" t="str"/>
      <x:c r="C133" s="3" t="str">
        <x:f>IF($B133="","",IFERROR(VLOOKUP($B133,Clinicas!$A$4:$R$205,2,FALSE),"ID nao cadastrado"))</x:f>
      </x:c>
      <x:c r="D133" s="3" t="str">
        <x:f>IF($B133="","",IFERROR(VLOOKUP($B133,Clinicas!$A$4:$R$205,4,FALSE),""))</x:f>
      </x:c>
      <x:c r="E133" s="3" t="str"/>
      <x:c r="F133" s="6" t="str"/>
      <x:c r="G133" s="6" t="str">
        <x:f>IF(OR($E133="",$F133=""),"",$F133/$E133)</x:f>
      </x:c>
      <x:c r="H133" s="3" t="str">
        <x:v>Exames de ultrassonografia veterinaria</x:v>
      </x:c>
      <x:c r="I133" s="3" t="str">
        <x:f>IF($A133="","",$H133&amp;" - "&amp;$E133&amp;" exame(s) realizado(s) em "&amp;TEXT($A133,"dd/mm/yyyy")&amp;". Valor referente ao Pix recebido em "&amp;TEXT($A133,"dd/mm/yyyy")&amp;".")</x:f>
      </x:c>
      <x:c r="J133" s="5" t="str">
        <x:f>IF($A133="","",$A133)</x:f>
      </x:c>
      <x:c r="K133" s="3" t="str"/>
      <x:c r="L133" s="3"/>
      <x:c r="M133" s="3" t="str">
        <x:f>IF($B133="","",IFERROR(VLOOKUP($B133,Clinicas!$A$4:$R$205,16,FALSE),"Confirmar"))</x:f>
      </x:c>
      <x:c r="N133" s="3" t="str">
        <x:f>IF($B133="","",IFERROR(VLOOKUP($B133,Clinicas!$A$4:$R$205,13,FALSE),""))</x:f>
      </x:c>
      <x:c r="O133" s="3"/>
    </x:row>
    <x:row r="134">
      <x:c r="A134" s="5"/>
      <x:c r="B134" s="3" t="str"/>
      <x:c r="C134" s="3" t="str">
        <x:f>IF($B134="","",IFERROR(VLOOKUP($B134,Clinicas!$A$4:$R$205,2,FALSE),"ID nao cadastrado"))</x:f>
      </x:c>
      <x:c r="D134" s="3" t="str">
        <x:f>IF($B134="","",IFERROR(VLOOKUP($B134,Clinicas!$A$4:$R$205,4,FALSE),""))</x:f>
      </x:c>
      <x:c r="E134" s="3" t="str"/>
      <x:c r="F134" s="6" t="str"/>
      <x:c r="G134" s="6" t="str">
        <x:f>IF(OR($E134="",$F134=""),"",$F134/$E134)</x:f>
      </x:c>
      <x:c r="H134" s="3" t="str">
        <x:v>Exames de ultrassonografia veterinaria</x:v>
      </x:c>
      <x:c r="I134" s="3" t="str">
        <x:f>IF($A134="","",$H134&amp;" - "&amp;$E134&amp;" exame(s) realizado(s) em "&amp;TEXT($A134,"dd/mm/yyyy")&amp;". Valor referente ao Pix recebido em "&amp;TEXT($A134,"dd/mm/yyyy")&amp;".")</x:f>
      </x:c>
      <x:c r="J134" s="5" t="str">
        <x:f>IF($A134="","",$A134)</x:f>
      </x:c>
      <x:c r="K134" s="3" t="str"/>
      <x:c r="L134" s="3"/>
      <x:c r="M134" s="3" t="str">
        <x:f>IF($B134="","",IFERROR(VLOOKUP($B134,Clinicas!$A$4:$R$205,16,FALSE),"Confirmar"))</x:f>
      </x:c>
      <x:c r="N134" s="3" t="str">
        <x:f>IF($B134="","",IFERROR(VLOOKUP($B134,Clinicas!$A$4:$R$205,13,FALSE),""))</x:f>
      </x:c>
      <x:c r="O134" s="3"/>
    </x:row>
    <x:row r="135">
      <x:c r="A135" s="5"/>
      <x:c r="B135" s="3" t="str"/>
      <x:c r="C135" s="3" t="str">
        <x:f>IF($B135="","",IFERROR(VLOOKUP($B135,Clinicas!$A$4:$R$205,2,FALSE),"ID nao cadastrado"))</x:f>
      </x:c>
      <x:c r="D135" s="3" t="str">
        <x:f>IF($B135="","",IFERROR(VLOOKUP($B135,Clinicas!$A$4:$R$205,4,FALSE),""))</x:f>
      </x:c>
      <x:c r="E135" s="3" t="str"/>
      <x:c r="F135" s="6" t="str"/>
      <x:c r="G135" s="6" t="str">
        <x:f>IF(OR($E135="",$F135=""),"",$F135/$E135)</x:f>
      </x:c>
      <x:c r="H135" s="3" t="str">
        <x:v>Exames de ultrassonografia veterinaria</x:v>
      </x:c>
      <x:c r="I135" s="3" t="str">
        <x:f>IF($A135="","",$H135&amp;" - "&amp;$E135&amp;" exame(s) realizado(s) em "&amp;TEXT($A135,"dd/mm/yyyy")&amp;". Valor referente ao Pix recebido em "&amp;TEXT($A135,"dd/mm/yyyy")&amp;".")</x:f>
      </x:c>
      <x:c r="J135" s="5" t="str">
        <x:f>IF($A135="","",$A135)</x:f>
      </x:c>
      <x:c r="K135" s="3" t="str"/>
      <x:c r="L135" s="3"/>
      <x:c r="M135" s="3" t="str">
        <x:f>IF($B135="","",IFERROR(VLOOKUP($B135,Clinicas!$A$4:$R$205,16,FALSE),"Confirmar"))</x:f>
      </x:c>
      <x:c r="N135" s="3" t="str">
        <x:f>IF($B135="","",IFERROR(VLOOKUP($B135,Clinicas!$A$4:$R$205,13,FALSE),""))</x:f>
      </x:c>
      <x:c r="O135" s="3"/>
    </x:row>
    <x:row r="136">
      <x:c r="A136" s="5"/>
      <x:c r="B136" s="3" t="str"/>
      <x:c r="C136" s="3" t="str">
        <x:f>IF($B136="","",IFERROR(VLOOKUP($B136,Clinicas!$A$4:$R$205,2,FALSE),"ID nao cadastrado"))</x:f>
      </x:c>
      <x:c r="D136" s="3" t="str">
        <x:f>IF($B136="","",IFERROR(VLOOKUP($B136,Clinicas!$A$4:$R$205,4,FALSE),""))</x:f>
      </x:c>
      <x:c r="E136" s="3" t="str"/>
      <x:c r="F136" s="6" t="str"/>
      <x:c r="G136" s="6" t="str">
        <x:f>IF(OR($E136="",$F136=""),"",$F136/$E136)</x:f>
      </x:c>
      <x:c r="H136" s="3" t="str">
        <x:v>Exames de ultrassonografia veterinaria</x:v>
      </x:c>
      <x:c r="I136" s="3" t="str">
        <x:f>IF($A136="","",$H136&amp;" - "&amp;$E136&amp;" exame(s) realizado(s) em "&amp;TEXT($A136,"dd/mm/yyyy")&amp;". Valor referente ao Pix recebido em "&amp;TEXT($A136,"dd/mm/yyyy")&amp;".")</x:f>
      </x:c>
      <x:c r="J136" s="5" t="str">
        <x:f>IF($A136="","",$A136)</x:f>
      </x:c>
      <x:c r="K136" s="3" t="str"/>
      <x:c r="L136" s="3"/>
      <x:c r="M136" s="3" t="str">
        <x:f>IF($B136="","",IFERROR(VLOOKUP($B136,Clinicas!$A$4:$R$205,16,FALSE),"Confirmar"))</x:f>
      </x:c>
      <x:c r="N136" s="3" t="str">
        <x:f>IF($B136="","",IFERROR(VLOOKUP($B136,Clinicas!$A$4:$R$205,13,FALSE),""))</x:f>
      </x:c>
      <x:c r="O136" s="3"/>
    </x:row>
    <x:row r="137">
      <x:c r="A137" s="5"/>
      <x:c r="B137" s="3" t="str"/>
      <x:c r="C137" s="3" t="str">
        <x:f>IF($B137="","",IFERROR(VLOOKUP($B137,Clinicas!$A$4:$R$205,2,FALSE),"ID nao cadastrado"))</x:f>
      </x:c>
      <x:c r="D137" s="3" t="str">
        <x:f>IF($B137="","",IFERROR(VLOOKUP($B137,Clinicas!$A$4:$R$205,4,FALSE),""))</x:f>
      </x:c>
      <x:c r="E137" s="3" t="str"/>
      <x:c r="F137" s="6" t="str"/>
      <x:c r="G137" s="6" t="str">
        <x:f>IF(OR($E137="",$F137=""),"",$F137/$E137)</x:f>
      </x:c>
      <x:c r="H137" s="3" t="str">
        <x:v>Exames de ultrassonografia veterinaria</x:v>
      </x:c>
      <x:c r="I137" s="3" t="str">
        <x:f>IF($A137="","",$H137&amp;" - "&amp;$E137&amp;" exame(s) realizado(s) em "&amp;TEXT($A137,"dd/mm/yyyy")&amp;". Valor referente ao Pix recebido em "&amp;TEXT($A137,"dd/mm/yyyy")&amp;".")</x:f>
      </x:c>
      <x:c r="J137" s="5" t="str">
        <x:f>IF($A137="","",$A137)</x:f>
      </x:c>
      <x:c r="K137" s="3" t="str"/>
      <x:c r="L137" s="3"/>
      <x:c r="M137" s="3" t="str">
        <x:f>IF($B137="","",IFERROR(VLOOKUP($B137,Clinicas!$A$4:$R$205,16,FALSE),"Confirmar"))</x:f>
      </x:c>
      <x:c r="N137" s="3" t="str">
        <x:f>IF($B137="","",IFERROR(VLOOKUP($B137,Clinicas!$A$4:$R$205,13,FALSE),""))</x:f>
      </x:c>
      <x:c r="O137" s="3"/>
    </x:row>
    <x:row r="138">
      <x:c r="A138" s="5"/>
      <x:c r="B138" s="3" t="str"/>
      <x:c r="C138" s="3" t="str">
        <x:f>IF($B138="","",IFERROR(VLOOKUP($B138,Clinicas!$A$4:$R$205,2,FALSE),"ID nao cadastrado"))</x:f>
      </x:c>
      <x:c r="D138" s="3" t="str">
        <x:f>IF($B138="","",IFERROR(VLOOKUP($B138,Clinicas!$A$4:$R$205,4,FALSE),""))</x:f>
      </x:c>
      <x:c r="E138" s="3" t="str"/>
      <x:c r="F138" s="6" t="str"/>
      <x:c r="G138" s="6" t="str">
        <x:f>IF(OR($E138="",$F138=""),"",$F138/$E138)</x:f>
      </x:c>
      <x:c r="H138" s="3" t="str">
        <x:v>Exames de ultrassonografia veterinaria</x:v>
      </x:c>
      <x:c r="I138" s="3" t="str">
        <x:f>IF($A138="","",$H138&amp;" - "&amp;$E138&amp;" exame(s) realizado(s) em "&amp;TEXT($A138,"dd/mm/yyyy")&amp;". Valor referente ao Pix recebido em "&amp;TEXT($A138,"dd/mm/yyyy")&amp;".")</x:f>
      </x:c>
      <x:c r="J138" s="5" t="str">
        <x:f>IF($A138="","",$A138)</x:f>
      </x:c>
      <x:c r="K138" s="3" t="str"/>
      <x:c r="L138" s="3"/>
      <x:c r="M138" s="3" t="str">
        <x:f>IF($B138="","",IFERROR(VLOOKUP($B138,Clinicas!$A$4:$R$205,16,FALSE),"Confirmar"))</x:f>
      </x:c>
      <x:c r="N138" s="3" t="str">
        <x:f>IF($B138="","",IFERROR(VLOOKUP($B138,Clinicas!$A$4:$R$205,13,FALSE),""))</x:f>
      </x:c>
      <x:c r="O138" s="3"/>
    </x:row>
    <x:row r="139">
      <x:c r="A139" s="5"/>
      <x:c r="B139" s="3" t="str"/>
      <x:c r="C139" s="3" t="str">
        <x:f>IF($B139="","",IFERROR(VLOOKUP($B139,Clinicas!$A$4:$R$205,2,FALSE),"ID nao cadastrado"))</x:f>
      </x:c>
      <x:c r="D139" s="3" t="str">
        <x:f>IF($B139="","",IFERROR(VLOOKUP($B139,Clinicas!$A$4:$R$205,4,FALSE),""))</x:f>
      </x:c>
      <x:c r="E139" s="3" t="str"/>
      <x:c r="F139" s="6" t="str"/>
      <x:c r="G139" s="6" t="str">
        <x:f>IF(OR($E139="",$F139=""),"",$F139/$E139)</x:f>
      </x:c>
      <x:c r="H139" s="3" t="str">
        <x:v>Exames de ultrassonografia veterinaria</x:v>
      </x:c>
      <x:c r="I139" s="3" t="str">
        <x:f>IF($A139="","",$H139&amp;" - "&amp;$E139&amp;" exame(s) realizado(s) em "&amp;TEXT($A139,"dd/mm/yyyy")&amp;". Valor referente ao Pix recebido em "&amp;TEXT($A139,"dd/mm/yyyy")&amp;".")</x:f>
      </x:c>
      <x:c r="J139" s="5" t="str">
        <x:f>IF($A139="","",$A139)</x:f>
      </x:c>
      <x:c r="K139" s="3" t="str"/>
      <x:c r="L139" s="3"/>
      <x:c r="M139" s="3" t="str">
        <x:f>IF($B139="","",IFERROR(VLOOKUP($B139,Clinicas!$A$4:$R$205,16,FALSE),"Confirmar"))</x:f>
      </x:c>
      <x:c r="N139" s="3" t="str">
        <x:f>IF($B139="","",IFERROR(VLOOKUP($B139,Clinicas!$A$4:$R$205,13,FALSE),""))</x:f>
      </x:c>
      <x:c r="O139" s="3"/>
    </x:row>
    <x:row r="140">
      <x:c r="A140" s="5"/>
      <x:c r="B140" s="3" t="str"/>
      <x:c r="C140" s="3" t="str">
        <x:f>IF($B140="","",IFERROR(VLOOKUP($B140,Clinicas!$A$4:$R$205,2,FALSE),"ID nao cadastrado"))</x:f>
      </x:c>
      <x:c r="D140" s="3" t="str">
        <x:f>IF($B140="","",IFERROR(VLOOKUP($B140,Clinicas!$A$4:$R$205,4,FALSE),""))</x:f>
      </x:c>
      <x:c r="E140" s="3" t="str"/>
      <x:c r="F140" s="6" t="str"/>
      <x:c r="G140" s="6" t="str">
        <x:f>IF(OR($E140="",$F140=""),"",$F140/$E140)</x:f>
      </x:c>
      <x:c r="H140" s="3" t="str">
        <x:v>Exames de ultrassonografia veterinaria</x:v>
      </x:c>
      <x:c r="I140" s="3" t="str">
        <x:f>IF($A140="","",$H140&amp;" - "&amp;$E140&amp;" exame(s) realizado(s) em "&amp;TEXT($A140,"dd/mm/yyyy")&amp;". Valor referente ao Pix recebido em "&amp;TEXT($A140,"dd/mm/yyyy")&amp;".")</x:f>
      </x:c>
      <x:c r="J140" s="5" t="str">
        <x:f>IF($A140="","",$A140)</x:f>
      </x:c>
      <x:c r="K140" s="3" t="str"/>
      <x:c r="L140" s="3"/>
      <x:c r="M140" s="3" t="str">
        <x:f>IF($B140="","",IFERROR(VLOOKUP($B140,Clinicas!$A$4:$R$205,16,FALSE),"Confirmar"))</x:f>
      </x:c>
      <x:c r="N140" s="3" t="str">
        <x:f>IF($B140="","",IFERROR(VLOOKUP($B140,Clinicas!$A$4:$R$205,13,FALSE),""))</x:f>
      </x:c>
      <x:c r="O140" s="3"/>
    </x:row>
    <x:row r="141">
      <x:c r="A141" s="5"/>
      <x:c r="B141" s="3" t="str"/>
      <x:c r="C141" s="3" t="str">
        <x:f>IF($B141="","",IFERROR(VLOOKUP($B141,Clinicas!$A$4:$R$205,2,FALSE),"ID nao cadastrado"))</x:f>
      </x:c>
      <x:c r="D141" s="3" t="str">
        <x:f>IF($B141="","",IFERROR(VLOOKUP($B141,Clinicas!$A$4:$R$205,4,FALSE),""))</x:f>
      </x:c>
      <x:c r="E141" s="3" t="str"/>
      <x:c r="F141" s="6" t="str"/>
      <x:c r="G141" s="6" t="str">
        <x:f>IF(OR($E141="",$F141=""),"",$F141/$E141)</x:f>
      </x:c>
      <x:c r="H141" s="3" t="str">
        <x:v>Exames de ultrassonografia veterinaria</x:v>
      </x:c>
      <x:c r="I141" s="3" t="str">
        <x:f>IF($A141="","",$H141&amp;" - "&amp;$E141&amp;" exame(s) realizado(s) em "&amp;TEXT($A141,"dd/mm/yyyy")&amp;". Valor referente ao Pix recebido em "&amp;TEXT($A141,"dd/mm/yyyy")&amp;".")</x:f>
      </x:c>
      <x:c r="J141" s="5" t="str">
        <x:f>IF($A141="","",$A141)</x:f>
      </x:c>
      <x:c r="K141" s="3" t="str"/>
      <x:c r="L141" s="3"/>
      <x:c r="M141" s="3" t="str">
        <x:f>IF($B141="","",IFERROR(VLOOKUP($B141,Clinicas!$A$4:$R$205,16,FALSE),"Confirmar"))</x:f>
      </x:c>
      <x:c r="N141" s="3" t="str">
        <x:f>IF($B141="","",IFERROR(VLOOKUP($B141,Clinicas!$A$4:$R$205,13,FALSE),""))</x:f>
      </x:c>
      <x:c r="O141" s="3"/>
    </x:row>
    <x:row r="142">
      <x:c r="A142" s="5"/>
      <x:c r="B142" s="3" t="str"/>
      <x:c r="C142" s="3" t="str">
        <x:f>IF($B142="","",IFERROR(VLOOKUP($B142,Clinicas!$A$4:$R$205,2,FALSE),"ID nao cadastrado"))</x:f>
      </x:c>
      <x:c r="D142" s="3" t="str">
        <x:f>IF($B142="","",IFERROR(VLOOKUP($B142,Clinicas!$A$4:$R$205,4,FALSE),""))</x:f>
      </x:c>
      <x:c r="E142" s="3" t="str"/>
      <x:c r="F142" s="6" t="str"/>
      <x:c r="G142" s="6" t="str">
        <x:f>IF(OR($E142="",$F142=""),"",$F142/$E142)</x:f>
      </x:c>
      <x:c r="H142" s="3" t="str">
        <x:v>Exames de ultrassonografia veterinaria</x:v>
      </x:c>
      <x:c r="I142" s="3" t="str">
        <x:f>IF($A142="","",$H142&amp;" - "&amp;$E142&amp;" exame(s) realizado(s) em "&amp;TEXT($A142,"dd/mm/yyyy")&amp;". Valor referente ao Pix recebido em "&amp;TEXT($A142,"dd/mm/yyyy")&amp;".")</x:f>
      </x:c>
      <x:c r="J142" s="5" t="str">
        <x:f>IF($A142="","",$A142)</x:f>
      </x:c>
      <x:c r="K142" s="3" t="str"/>
      <x:c r="L142" s="3"/>
      <x:c r="M142" s="3" t="str">
        <x:f>IF($B142="","",IFERROR(VLOOKUP($B142,Clinicas!$A$4:$R$205,16,FALSE),"Confirmar"))</x:f>
      </x:c>
      <x:c r="N142" s="3" t="str">
        <x:f>IF($B142="","",IFERROR(VLOOKUP($B142,Clinicas!$A$4:$R$205,13,FALSE),""))</x:f>
      </x:c>
      <x:c r="O142" s="3"/>
    </x:row>
    <x:row r="143">
      <x:c r="A143" s="5"/>
      <x:c r="B143" s="3" t="str"/>
      <x:c r="C143" s="3" t="str">
        <x:f>IF($B143="","",IFERROR(VLOOKUP($B143,Clinicas!$A$4:$R$205,2,FALSE),"ID nao cadastrado"))</x:f>
      </x:c>
      <x:c r="D143" s="3" t="str">
        <x:f>IF($B143="","",IFERROR(VLOOKUP($B143,Clinicas!$A$4:$R$205,4,FALSE),""))</x:f>
      </x:c>
      <x:c r="E143" s="3" t="str"/>
      <x:c r="F143" s="6" t="str"/>
      <x:c r="G143" s="6" t="str">
        <x:f>IF(OR($E143="",$F143=""),"",$F143/$E143)</x:f>
      </x:c>
      <x:c r="H143" s="3" t="str">
        <x:v>Exames de ultrassonografia veterinaria</x:v>
      </x:c>
      <x:c r="I143" s="3" t="str">
        <x:f>IF($A143="","",$H143&amp;" - "&amp;$E143&amp;" exame(s) realizado(s) em "&amp;TEXT($A143,"dd/mm/yyyy")&amp;". Valor referente ao Pix recebido em "&amp;TEXT($A143,"dd/mm/yyyy")&amp;".")</x:f>
      </x:c>
      <x:c r="J143" s="5" t="str">
        <x:f>IF($A143="","",$A143)</x:f>
      </x:c>
      <x:c r="K143" s="3" t="str"/>
      <x:c r="L143" s="3"/>
      <x:c r="M143" s="3" t="str">
        <x:f>IF($B143="","",IFERROR(VLOOKUP($B143,Clinicas!$A$4:$R$205,16,FALSE),"Confirmar"))</x:f>
      </x:c>
      <x:c r="N143" s="3" t="str">
        <x:f>IF($B143="","",IFERROR(VLOOKUP($B143,Clinicas!$A$4:$R$205,13,FALSE),""))</x:f>
      </x:c>
      <x:c r="O143" s="3"/>
    </x:row>
    <x:row r="144">
      <x:c r="A144" s="5"/>
      <x:c r="B144" s="3" t="str"/>
      <x:c r="C144" s="3" t="str">
        <x:f>IF($B144="","",IFERROR(VLOOKUP($B144,Clinicas!$A$4:$R$205,2,FALSE),"ID nao cadastrado"))</x:f>
      </x:c>
      <x:c r="D144" s="3" t="str">
        <x:f>IF($B144="","",IFERROR(VLOOKUP($B144,Clinicas!$A$4:$R$205,4,FALSE),""))</x:f>
      </x:c>
      <x:c r="E144" s="3" t="str"/>
      <x:c r="F144" s="6" t="str"/>
      <x:c r="G144" s="6" t="str">
        <x:f>IF(OR($E144="",$F144=""),"",$F144/$E144)</x:f>
      </x:c>
      <x:c r="H144" s="3" t="str">
        <x:v>Exames de ultrassonografia veterinaria</x:v>
      </x:c>
      <x:c r="I144" s="3" t="str">
        <x:f>IF($A144="","",$H144&amp;" - "&amp;$E144&amp;" exame(s) realizado(s) em "&amp;TEXT($A144,"dd/mm/yyyy")&amp;". Valor referente ao Pix recebido em "&amp;TEXT($A144,"dd/mm/yyyy")&amp;".")</x:f>
      </x:c>
      <x:c r="J144" s="5" t="str">
        <x:f>IF($A144="","",$A144)</x:f>
      </x:c>
      <x:c r="K144" s="3" t="str"/>
      <x:c r="L144" s="3"/>
      <x:c r="M144" s="3" t="str">
        <x:f>IF($B144="","",IFERROR(VLOOKUP($B144,Clinicas!$A$4:$R$205,16,FALSE),"Confirmar"))</x:f>
      </x:c>
      <x:c r="N144" s="3" t="str">
        <x:f>IF($B144="","",IFERROR(VLOOKUP($B144,Clinicas!$A$4:$R$205,13,FALSE),""))</x:f>
      </x:c>
      <x:c r="O144" s="3"/>
    </x:row>
    <x:row r="145">
      <x:c r="A145" s="5"/>
      <x:c r="B145" s="3" t="str"/>
      <x:c r="C145" s="3" t="str">
        <x:f>IF($B145="","",IFERROR(VLOOKUP($B145,Clinicas!$A$4:$R$205,2,FALSE),"ID nao cadastrado"))</x:f>
      </x:c>
      <x:c r="D145" s="3" t="str">
        <x:f>IF($B145="","",IFERROR(VLOOKUP($B145,Clinicas!$A$4:$R$205,4,FALSE),""))</x:f>
      </x:c>
      <x:c r="E145" s="3" t="str"/>
      <x:c r="F145" s="6" t="str"/>
      <x:c r="G145" s="6" t="str">
        <x:f>IF(OR($E145="",$F145=""),"",$F145/$E145)</x:f>
      </x:c>
      <x:c r="H145" s="3" t="str">
        <x:v>Exames de ultrassonografia veterinaria</x:v>
      </x:c>
      <x:c r="I145" s="3" t="str">
        <x:f>IF($A145="","",$H145&amp;" - "&amp;$E145&amp;" exame(s) realizado(s) em "&amp;TEXT($A145,"dd/mm/yyyy")&amp;". Valor referente ao Pix recebido em "&amp;TEXT($A145,"dd/mm/yyyy")&amp;".")</x:f>
      </x:c>
      <x:c r="J145" s="5" t="str">
        <x:f>IF($A145="","",$A145)</x:f>
      </x:c>
      <x:c r="K145" s="3" t="str"/>
      <x:c r="L145" s="3"/>
      <x:c r="M145" s="3" t="str">
        <x:f>IF($B145="","",IFERROR(VLOOKUP($B145,Clinicas!$A$4:$R$205,16,FALSE),"Confirmar"))</x:f>
      </x:c>
      <x:c r="N145" s="3" t="str">
        <x:f>IF($B145="","",IFERROR(VLOOKUP($B145,Clinicas!$A$4:$R$205,13,FALSE),""))</x:f>
      </x:c>
      <x:c r="O145" s="3"/>
    </x:row>
    <x:row r="146">
      <x:c r="A146" s="5"/>
      <x:c r="B146" s="3" t="str"/>
      <x:c r="C146" s="3" t="str">
        <x:f>IF($B146="","",IFERROR(VLOOKUP($B146,Clinicas!$A$4:$R$205,2,FALSE),"ID nao cadastrado"))</x:f>
      </x:c>
      <x:c r="D146" s="3" t="str">
        <x:f>IF($B146="","",IFERROR(VLOOKUP($B146,Clinicas!$A$4:$R$205,4,FALSE),""))</x:f>
      </x:c>
      <x:c r="E146" s="3" t="str"/>
      <x:c r="F146" s="6" t="str"/>
      <x:c r="G146" s="6" t="str">
        <x:f>IF(OR($E146="",$F146=""),"",$F146/$E146)</x:f>
      </x:c>
      <x:c r="H146" s="3" t="str">
        <x:v>Exames de ultrassonografia veterinaria</x:v>
      </x:c>
      <x:c r="I146" s="3" t="str">
        <x:f>IF($A146="","",$H146&amp;" - "&amp;$E146&amp;" exame(s) realizado(s) em "&amp;TEXT($A146,"dd/mm/yyyy")&amp;". Valor referente ao Pix recebido em "&amp;TEXT($A146,"dd/mm/yyyy")&amp;".")</x:f>
      </x:c>
      <x:c r="J146" s="5" t="str">
        <x:f>IF($A146="","",$A146)</x:f>
      </x:c>
      <x:c r="K146" s="3" t="str"/>
      <x:c r="L146" s="3"/>
      <x:c r="M146" s="3" t="str">
        <x:f>IF($B146="","",IFERROR(VLOOKUP($B146,Clinicas!$A$4:$R$205,16,FALSE),"Confirmar"))</x:f>
      </x:c>
      <x:c r="N146" s="3" t="str">
        <x:f>IF($B146="","",IFERROR(VLOOKUP($B146,Clinicas!$A$4:$R$205,13,FALSE),""))</x:f>
      </x:c>
      <x:c r="O146" s="3"/>
    </x:row>
    <x:row r="147">
      <x:c r="A147" s="5"/>
      <x:c r="B147" s="3" t="str"/>
      <x:c r="C147" s="3" t="str">
        <x:f>IF($B147="","",IFERROR(VLOOKUP($B147,Clinicas!$A$4:$R$205,2,FALSE),"ID nao cadastrado"))</x:f>
      </x:c>
      <x:c r="D147" s="3" t="str">
        <x:f>IF($B147="","",IFERROR(VLOOKUP($B147,Clinicas!$A$4:$R$205,4,FALSE),""))</x:f>
      </x:c>
      <x:c r="E147" s="3" t="str"/>
      <x:c r="F147" s="6" t="str"/>
      <x:c r="G147" s="6" t="str">
        <x:f>IF(OR($E147="",$F147=""),"",$F147/$E147)</x:f>
      </x:c>
      <x:c r="H147" s="3" t="str">
        <x:v>Exames de ultrassonografia veterinaria</x:v>
      </x:c>
      <x:c r="I147" s="3" t="str">
        <x:f>IF($A147="","",$H147&amp;" - "&amp;$E147&amp;" exame(s) realizado(s) em "&amp;TEXT($A147,"dd/mm/yyyy")&amp;". Valor referente ao Pix recebido em "&amp;TEXT($A147,"dd/mm/yyyy")&amp;".")</x:f>
      </x:c>
      <x:c r="J147" s="5" t="str">
        <x:f>IF($A147="","",$A147)</x:f>
      </x:c>
      <x:c r="K147" s="3" t="str"/>
      <x:c r="L147" s="3"/>
      <x:c r="M147" s="3" t="str">
        <x:f>IF($B147="","",IFERROR(VLOOKUP($B147,Clinicas!$A$4:$R$205,16,FALSE),"Confirmar"))</x:f>
      </x:c>
      <x:c r="N147" s="3" t="str">
        <x:f>IF($B147="","",IFERROR(VLOOKUP($B147,Clinicas!$A$4:$R$205,13,FALSE),""))</x:f>
      </x:c>
      <x:c r="O147" s="3"/>
    </x:row>
    <x:row r="148">
      <x:c r="A148" s="5"/>
      <x:c r="B148" s="3" t="str"/>
      <x:c r="C148" s="3" t="str">
        <x:f>IF($B148="","",IFERROR(VLOOKUP($B148,Clinicas!$A$4:$R$205,2,FALSE),"ID nao cadastrado"))</x:f>
      </x:c>
      <x:c r="D148" s="3" t="str">
        <x:f>IF($B148="","",IFERROR(VLOOKUP($B148,Clinicas!$A$4:$R$205,4,FALSE),""))</x:f>
      </x:c>
      <x:c r="E148" s="3" t="str"/>
      <x:c r="F148" s="6" t="str"/>
      <x:c r="G148" s="6" t="str">
        <x:f>IF(OR($E148="",$F148=""),"",$F148/$E148)</x:f>
      </x:c>
      <x:c r="H148" s="3" t="str">
        <x:v>Exames de ultrassonografia veterinaria</x:v>
      </x:c>
      <x:c r="I148" s="3" t="str">
        <x:f>IF($A148="","",$H148&amp;" - "&amp;$E148&amp;" exame(s) realizado(s) em "&amp;TEXT($A148,"dd/mm/yyyy")&amp;". Valor referente ao Pix recebido em "&amp;TEXT($A148,"dd/mm/yyyy")&amp;".")</x:f>
      </x:c>
      <x:c r="J148" s="5" t="str">
        <x:f>IF($A148="","",$A148)</x:f>
      </x:c>
      <x:c r="K148" s="3" t="str"/>
      <x:c r="L148" s="3"/>
      <x:c r="M148" s="3" t="str">
        <x:f>IF($B148="","",IFERROR(VLOOKUP($B148,Clinicas!$A$4:$R$205,16,FALSE),"Confirmar"))</x:f>
      </x:c>
      <x:c r="N148" s="3" t="str">
        <x:f>IF($B148="","",IFERROR(VLOOKUP($B148,Clinicas!$A$4:$R$205,13,FALSE),""))</x:f>
      </x:c>
      <x:c r="O148" s="3"/>
    </x:row>
    <x:row r="149">
      <x:c r="A149" s="5"/>
      <x:c r="B149" s="3" t="str"/>
      <x:c r="C149" s="3" t="str">
        <x:f>IF($B149="","",IFERROR(VLOOKUP($B149,Clinicas!$A$4:$R$205,2,FALSE),"ID nao cadastrado"))</x:f>
      </x:c>
      <x:c r="D149" s="3" t="str">
        <x:f>IF($B149="","",IFERROR(VLOOKUP($B149,Clinicas!$A$4:$R$205,4,FALSE),""))</x:f>
      </x:c>
      <x:c r="E149" s="3" t="str"/>
      <x:c r="F149" s="6" t="str"/>
      <x:c r="G149" s="6" t="str">
        <x:f>IF(OR($E149="",$F149=""),"",$F149/$E149)</x:f>
      </x:c>
      <x:c r="H149" s="3" t="str">
        <x:v>Exames de ultrassonografia veterinaria</x:v>
      </x:c>
      <x:c r="I149" s="3" t="str">
        <x:f>IF($A149="","",$H149&amp;" - "&amp;$E149&amp;" exame(s) realizado(s) em "&amp;TEXT($A149,"dd/mm/yyyy")&amp;". Valor referente ao Pix recebido em "&amp;TEXT($A149,"dd/mm/yyyy")&amp;".")</x:f>
      </x:c>
      <x:c r="J149" s="5" t="str">
        <x:f>IF($A149="","",$A149)</x:f>
      </x:c>
      <x:c r="K149" s="3" t="str"/>
      <x:c r="L149" s="3"/>
      <x:c r="M149" s="3" t="str">
        <x:f>IF($B149="","",IFERROR(VLOOKUP($B149,Clinicas!$A$4:$R$205,16,FALSE),"Confirmar"))</x:f>
      </x:c>
      <x:c r="N149" s="3" t="str">
        <x:f>IF($B149="","",IFERROR(VLOOKUP($B149,Clinicas!$A$4:$R$205,13,FALSE),""))</x:f>
      </x:c>
      <x:c r="O149" s="3"/>
    </x:row>
    <x:row r="150">
      <x:c r="A150" s="5"/>
      <x:c r="B150" s="3" t="str"/>
      <x:c r="C150" s="3" t="str">
        <x:f>IF($B150="","",IFERROR(VLOOKUP($B150,Clinicas!$A$4:$R$205,2,FALSE),"ID nao cadastrado"))</x:f>
      </x:c>
      <x:c r="D150" s="3" t="str">
        <x:f>IF($B150="","",IFERROR(VLOOKUP($B150,Clinicas!$A$4:$R$205,4,FALSE),""))</x:f>
      </x:c>
      <x:c r="E150" s="3" t="str"/>
      <x:c r="F150" s="6" t="str"/>
      <x:c r="G150" s="6" t="str">
        <x:f>IF(OR($E150="",$F150=""),"",$F150/$E150)</x:f>
      </x:c>
      <x:c r="H150" s="3" t="str">
        <x:v>Exames de ultrassonografia veterinaria</x:v>
      </x:c>
      <x:c r="I150" s="3" t="str">
        <x:f>IF($A150="","",$H150&amp;" - "&amp;$E150&amp;" exame(s) realizado(s) em "&amp;TEXT($A150,"dd/mm/yyyy")&amp;". Valor referente ao Pix recebido em "&amp;TEXT($A150,"dd/mm/yyyy")&amp;".")</x:f>
      </x:c>
      <x:c r="J150" s="5" t="str">
        <x:f>IF($A150="","",$A150)</x:f>
      </x:c>
      <x:c r="K150" s="3" t="str"/>
      <x:c r="L150" s="3"/>
      <x:c r="M150" s="3" t="str">
        <x:f>IF($B150="","",IFERROR(VLOOKUP($B150,Clinicas!$A$4:$R$205,16,FALSE),"Confirmar"))</x:f>
      </x:c>
      <x:c r="N150" s="3" t="str">
        <x:f>IF($B150="","",IFERROR(VLOOKUP($B150,Clinicas!$A$4:$R$205,13,FALSE),""))</x:f>
      </x:c>
      <x:c r="O150" s="3"/>
    </x:row>
    <x:row r="151">
      <x:c r="A151" s="5"/>
      <x:c r="B151" s="3" t="str"/>
      <x:c r="C151" s="3" t="str">
        <x:f>IF($B151="","",IFERROR(VLOOKUP($B151,Clinicas!$A$4:$R$205,2,FALSE),"ID nao cadastrado"))</x:f>
      </x:c>
      <x:c r="D151" s="3" t="str">
        <x:f>IF($B151="","",IFERROR(VLOOKUP($B151,Clinicas!$A$4:$R$205,4,FALSE),""))</x:f>
      </x:c>
      <x:c r="E151" s="3" t="str"/>
      <x:c r="F151" s="6" t="str"/>
      <x:c r="G151" s="6" t="str">
        <x:f>IF(OR($E151="",$F151=""),"",$F151/$E151)</x:f>
      </x:c>
      <x:c r="H151" s="3" t="str">
        <x:v>Exames de ultrassonografia veterinaria</x:v>
      </x:c>
      <x:c r="I151" s="3" t="str">
        <x:f>IF($A151="","",$H151&amp;" - "&amp;$E151&amp;" exame(s) realizado(s) em "&amp;TEXT($A151,"dd/mm/yyyy")&amp;". Valor referente ao Pix recebido em "&amp;TEXT($A151,"dd/mm/yyyy")&amp;".")</x:f>
      </x:c>
      <x:c r="J151" s="5" t="str">
        <x:f>IF($A151="","",$A151)</x:f>
      </x:c>
      <x:c r="K151" s="3" t="str"/>
      <x:c r="L151" s="3"/>
      <x:c r="M151" s="3" t="str">
        <x:f>IF($B151="","",IFERROR(VLOOKUP($B151,Clinicas!$A$4:$R$205,16,FALSE),"Confirmar"))</x:f>
      </x:c>
      <x:c r="N151" s="3" t="str">
        <x:f>IF($B151="","",IFERROR(VLOOKUP($B151,Clinicas!$A$4:$R$205,13,FALSE),""))</x:f>
      </x:c>
      <x:c r="O151" s="3"/>
    </x:row>
    <x:row r="152">
      <x:c r="A152" s="5"/>
      <x:c r="B152" s="3" t="str"/>
      <x:c r="C152" s="3" t="str">
        <x:f>IF($B152="","",IFERROR(VLOOKUP($B152,Clinicas!$A$4:$R$205,2,FALSE),"ID nao cadastrado"))</x:f>
      </x:c>
      <x:c r="D152" s="3" t="str">
        <x:f>IF($B152="","",IFERROR(VLOOKUP($B152,Clinicas!$A$4:$R$205,4,FALSE),""))</x:f>
      </x:c>
      <x:c r="E152" s="3" t="str"/>
      <x:c r="F152" s="6" t="str"/>
      <x:c r="G152" s="6" t="str">
        <x:f>IF(OR($E152="",$F152=""),"",$F152/$E152)</x:f>
      </x:c>
      <x:c r="H152" s="3" t="str">
        <x:v>Exames de ultrassonografia veterinaria</x:v>
      </x:c>
      <x:c r="I152" s="3" t="str">
        <x:f>IF($A152="","",$H152&amp;" - "&amp;$E152&amp;" exame(s) realizado(s) em "&amp;TEXT($A152,"dd/mm/yyyy")&amp;". Valor referente ao Pix recebido em "&amp;TEXT($A152,"dd/mm/yyyy")&amp;".")</x:f>
      </x:c>
      <x:c r="J152" s="5" t="str">
        <x:f>IF($A152="","",$A152)</x:f>
      </x:c>
      <x:c r="K152" s="3" t="str"/>
      <x:c r="L152" s="3"/>
      <x:c r="M152" s="3" t="str">
        <x:f>IF($B152="","",IFERROR(VLOOKUP($B152,Clinicas!$A$4:$R$205,16,FALSE),"Confirmar"))</x:f>
      </x:c>
      <x:c r="N152" s="3" t="str">
        <x:f>IF($B152="","",IFERROR(VLOOKUP($B152,Clinicas!$A$4:$R$205,13,FALSE),""))</x:f>
      </x:c>
      <x:c r="O152" s="3"/>
    </x:row>
    <x:row r="153">
      <x:c r="A153" s="5"/>
      <x:c r="B153" s="3" t="str"/>
      <x:c r="C153" s="3" t="str">
        <x:f>IF($B153="","",IFERROR(VLOOKUP($B153,Clinicas!$A$4:$R$205,2,FALSE),"ID nao cadastrado"))</x:f>
      </x:c>
      <x:c r="D153" s="3" t="str">
        <x:f>IF($B153="","",IFERROR(VLOOKUP($B153,Clinicas!$A$4:$R$205,4,FALSE),""))</x:f>
      </x:c>
      <x:c r="E153" s="3" t="str"/>
      <x:c r="F153" s="6" t="str"/>
      <x:c r="G153" s="6" t="str">
        <x:f>IF(OR($E153="",$F153=""),"",$F153/$E153)</x:f>
      </x:c>
      <x:c r="H153" s="3" t="str">
        <x:v>Exames de ultrassonografia veterinaria</x:v>
      </x:c>
      <x:c r="I153" s="3" t="str">
        <x:f>IF($A153="","",$H153&amp;" - "&amp;$E153&amp;" exame(s) realizado(s) em "&amp;TEXT($A153,"dd/mm/yyyy")&amp;". Valor referente ao Pix recebido em "&amp;TEXT($A153,"dd/mm/yyyy")&amp;".")</x:f>
      </x:c>
      <x:c r="J153" s="5" t="str">
        <x:f>IF($A153="","",$A153)</x:f>
      </x:c>
      <x:c r="K153" s="3" t="str"/>
      <x:c r="L153" s="3"/>
      <x:c r="M153" s="3" t="str">
        <x:f>IF($B153="","",IFERROR(VLOOKUP($B153,Clinicas!$A$4:$R$205,16,FALSE),"Confirmar"))</x:f>
      </x:c>
      <x:c r="N153" s="3" t="str">
        <x:f>IF($B153="","",IFERROR(VLOOKUP($B153,Clinicas!$A$4:$R$205,13,FALSE),""))</x:f>
      </x:c>
      <x:c r="O153" s="3"/>
    </x:row>
    <x:row r="154">
      <x:c r="A154" s="5"/>
      <x:c r="B154" s="3" t="str"/>
      <x:c r="C154" s="3" t="str">
        <x:f>IF($B154="","",IFERROR(VLOOKUP($B154,Clinicas!$A$4:$R$205,2,FALSE),"ID nao cadastrado"))</x:f>
      </x:c>
      <x:c r="D154" s="3" t="str">
        <x:f>IF($B154="","",IFERROR(VLOOKUP($B154,Clinicas!$A$4:$R$205,4,FALSE),""))</x:f>
      </x:c>
      <x:c r="E154" s="3" t="str"/>
      <x:c r="F154" s="6" t="str"/>
      <x:c r="G154" s="6" t="str">
        <x:f>IF(OR($E154="",$F154=""),"",$F154/$E154)</x:f>
      </x:c>
      <x:c r="H154" s="3" t="str">
        <x:v>Exames de ultrassonografia veterinaria</x:v>
      </x:c>
      <x:c r="I154" s="3" t="str">
        <x:f>IF($A154="","",$H154&amp;" - "&amp;$E154&amp;" exame(s) realizado(s) em "&amp;TEXT($A154,"dd/mm/yyyy")&amp;". Valor referente ao Pix recebido em "&amp;TEXT($A154,"dd/mm/yyyy")&amp;".")</x:f>
      </x:c>
      <x:c r="J154" s="5" t="str">
        <x:f>IF($A154="","",$A154)</x:f>
      </x:c>
      <x:c r="K154" s="3" t="str"/>
      <x:c r="L154" s="3"/>
      <x:c r="M154" s="3" t="str">
        <x:f>IF($B154="","",IFERROR(VLOOKUP($B154,Clinicas!$A$4:$R$205,16,FALSE),"Confirmar"))</x:f>
      </x:c>
      <x:c r="N154" s="3" t="str">
        <x:f>IF($B154="","",IFERROR(VLOOKUP($B154,Clinicas!$A$4:$R$205,13,FALSE),""))</x:f>
      </x:c>
      <x:c r="O154" s="3"/>
    </x:row>
    <x:row r="155">
      <x:c r="A155" s="5"/>
      <x:c r="B155" s="3" t="str"/>
      <x:c r="C155" s="3" t="str">
        <x:f>IF($B155="","",IFERROR(VLOOKUP($B155,Clinicas!$A$4:$R$205,2,FALSE),"ID nao cadastrado"))</x:f>
      </x:c>
      <x:c r="D155" s="3" t="str">
        <x:f>IF($B155="","",IFERROR(VLOOKUP($B155,Clinicas!$A$4:$R$205,4,FALSE),""))</x:f>
      </x:c>
      <x:c r="E155" s="3" t="str"/>
      <x:c r="F155" s="6" t="str"/>
      <x:c r="G155" s="6" t="str">
        <x:f>IF(OR($E155="",$F155=""),"",$F155/$E155)</x:f>
      </x:c>
      <x:c r="H155" s="3" t="str">
        <x:v>Exames de ultrassonografia veterinaria</x:v>
      </x:c>
      <x:c r="I155" s="3" t="str">
        <x:f>IF($A155="","",$H155&amp;" - "&amp;$E155&amp;" exame(s) realizado(s) em "&amp;TEXT($A155,"dd/mm/yyyy")&amp;". Valor referente ao Pix recebido em "&amp;TEXT($A155,"dd/mm/yyyy")&amp;".")</x:f>
      </x:c>
      <x:c r="J155" s="5" t="str">
        <x:f>IF($A155="","",$A155)</x:f>
      </x:c>
      <x:c r="K155" s="3" t="str"/>
      <x:c r="L155" s="3"/>
      <x:c r="M155" s="3" t="str">
        <x:f>IF($B155="","",IFERROR(VLOOKUP($B155,Clinicas!$A$4:$R$205,16,FALSE),"Confirmar"))</x:f>
      </x:c>
      <x:c r="N155" s="3" t="str">
        <x:f>IF($B155="","",IFERROR(VLOOKUP($B155,Clinicas!$A$4:$R$205,13,FALSE),""))</x:f>
      </x:c>
      <x:c r="O155" s="3"/>
    </x:row>
    <x:row r="156">
      <x:c r="A156" s="5"/>
      <x:c r="B156" s="3" t="str"/>
      <x:c r="C156" s="3" t="str">
        <x:f>IF($B156="","",IFERROR(VLOOKUP($B156,Clinicas!$A$4:$R$205,2,FALSE),"ID nao cadastrado"))</x:f>
      </x:c>
      <x:c r="D156" s="3" t="str">
        <x:f>IF($B156="","",IFERROR(VLOOKUP($B156,Clinicas!$A$4:$R$205,4,FALSE),""))</x:f>
      </x:c>
      <x:c r="E156" s="3" t="str"/>
      <x:c r="F156" s="6" t="str"/>
      <x:c r="G156" s="6" t="str">
        <x:f>IF(OR($E156="",$F156=""),"",$F156/$E156)</x:f>
      </x:c>
      <x:c r="H156" s="3" t="str">
        <x:v>Exames de ultrassonografia veterinaria</x:v>
      </x:c>
      <x:c r="I156" s="3" t="str">
        <x:f>IF($A156="","",$H156&amp;" - "&amp;$E156&amp;" exame(s) realizado(s) em "&amp;TEXT($A156,"dd/mm/yyyy")&amp;". Valor referente ao Pix recebido em "&amp;TEXT($A156,"dd/mm/yyyy")&amp;".")</x:f>
      </x:c>
      <x:c r="J156" s="5" t="str">
        <x:f>IF($A156="","",$A156)</x:f>
      </x:c>
      <x:c r="K156" s="3" t="str"/>
      <x:c r="L156" s="3"/>
      <x:c r="M156" s="3" t="str">
        <x:f>IF($B156="","",IFERROR(VLOOKUP($B156,Clinicas!$A$4:$R$205,16,FALSE),"Confirmar"))</x:f>
      </x:c>
      <x:c r="N156" s="3" t="str">
        <x:f>IF($B156="","",IFERROR(VLOOKUP($B156,Clinicas!$A$4:$R$205,13,FALSE),""))</x:f>
      </x:c>
      <x:c r="O156" s="3"/>
    </x:row>
    <x:row r="157">
      <x:c r="A157" s="5"/>
      <x:c r="B157" s="3" t="str"/>
      <x:c r="C157" s="3" t="str">
        <x:f>IF($B157="","",IFERROR(VLOOKUP($B157,Clinicas!$A$4:$R$205,2,FALSE),"ID nao cadastrado"))</x:f>
      </x:c>
      <x:c r="D157" s="3" t="str">
        <x:f>IF($B157="","",IFERROR(VLOOKUP($B157,Clinicas!$A$4:$R$205,4,FALSE),""))</x:f>
      </x:c>
      <x:c r="E157" s="3" t="str"/>
      <x:c r="F157" s="6" t="str"/>
      <x:c r="G157" s="6" t="str">
        <x:f>IF(OR($E157="",$F157=""),"",$F157/$E157)</x:f>
      </x:c>
      <x:c r="H157" s="3" t="str">
        <x:v>Exames de ultrassonografia veterinaria</x:v>
      </x:c>
      <x:c r="I157" s="3" t="str">
        <x:f>IF($A157="","",$H157&amp;" - "&amp;$E157&amp;" exame(s) realizado(s) em "&amp;TEXT($A157,"dd/mm/yyyy")&amp;". Valor referente ao Pix recebido em "&amp;TEXT($A157,"dd/mm/yyyy")&amp;".")</x:f>
      </x:c>
      <x:c r="J157" s="5" t="str">
        <x:f>IF($A157="","",$A157)</x:f>
      </x:c>
      <x:c r="K157" s="3" t="str"/>
      <x:c r="L157" s="3"/>
      <x:c r="M157" s="3" t="str">
        <x:f>IF($B157="","",IFERROR(VLOOKUP($B157,Clinicas!$A$4:$R$205,16,FALSE),"Confirmar"))</x:f>
      </x:c>
      <x:c r="N157" s="3" t="str">
        <x:f>IF($B157="","",IFERROR(VLOOKUP($B157,Clinicas!$A$4:$R$205,13,FALSE),""))</x:f>
      </x:c>
      <x:c r="O157" s="3"/>
    </x:row>
    <x:row r="158">
      <x:c r="A158" s="5"/>
      <x:c r="B158" s="3" t="str"/>
      <x:c r="C158" s="3" t="str">
        <x:f>IF($B158="","",IFERROR(VLOOKUP($B158,Clinicas!$A$4:$R$205,2,FALSE),"ID nao cadastrado"))</x:f>
      </x:c>
      <x:c r="D158" s="3" t="str">
        <x:f>IF($B158="","",IFERROR(VLOOKUP($B158,Clinicas!$A$4:$R$205,4,FALSE),""))</x:f>
      </x:c>
      <x:c r="E158" s="3" t="str"/>
      <x:c r="F158" s="6" t="str"/>
      <x:c r="G158" s="6" t="str">
        <x:f>IF(OR($E158="",$F158=""),"",$F158/$E158)</x:f>
      </x:c>
      <x:c r="H158" s="3" t="str">
        <x:v>Exames de ultrassonografia veterinaria</x:v>
      </x:c>
      <x:c r="I158" s="3" t="str">
        <x:f>IF($A158="","",$H158&amp;" - "&amp;$E158&amp;" exame(s) realizado(s) em "&amp;TEXT($A158,"dd/mm/yyyy")&amp;". Valor referente ao Pix recebido em "&amp;TEXT($A158,"dd/mm/yyyy")&amp;".")</x:f>
      </x:c>
      <x:c r="J158" s="5" t="str">
        <x:f>IF($A158="","",$A158)</x:f>
      </x:c>
      <x:c r="K158" s="3" t="str"/>
      <x:c r="L158" s="3"/>
      <x:c r="M158" s="3" t="str">
        <x:f>IF($B158="","",IFERROR(VLOOKUP($B158,Clinicas!$A$4:$R$205,16,FALSE),"Confirmar"))</x:f>
      </x:c>
      <x:c r="N158" s="3" t="str">
        <x:f>IF($B158="","",IFERROR(VLOOKUP($B158,Clinicas!$A$4:$R$205,13,FALSE),""))</x:f>
      </x:c>
      <x:c r="O158" s="3"/>
    </x:row>
    <x:row r="159">
      <x:c r="A159" s="5"/>
      <x:c r="B159" s="3" t="str"/>
      <x:c r="C159" s="3" t="str">
        <x:f>IF($B159="","",IFERROR(VLOOKUP($B159,Clinicas!$A$4:$R$205,2,FALSE),"ID nao cadastrado"))</x:f>
      </x:c>
      <x:c r="D159" s="3" t="str">
        <x:f>IF($B159="","",IFERROR(VLOOKUP($B159,Clinicas!$A$4:$R$205,4,FALSE),""))</x:f>
      </x:c>
      <x:c r="E159" s="3" t="str"/>
      <x:c r="F159" s="6" t="str"/>
      <x:c r="G159" s="6" t="str">
        <x:f>IF(OR($E159="",$F159=""),"",$F159/$E159)</x:f>
      </x:c>
      <x:c r="H159" s="3" t="str">
        <x:v>Exames de ultrassonografia veterinaria</x:v>
      </x:c>
      <x:c r="I159" s="3" t="str">
        <x:f>IF($A159="","",$H159&amp;" - "&amp;$E159&amp;" exame(s) realizado(s) em "&amp;TEXT($A159,"dd/mm/yyyy")&amp;". Valor referente ao Pix recebido em "&amp;TEXT($A159,"dd/mm/yyyy")&amp;".")</x:f>
      </x:c>
      <x:c r="J159" s="5" t="str">
        <x:f>IF($A159="","",$A159)</x:f>
      </x:c>
      <x:c r="K159" s="3" t="str"/>
      <x:c r="L159" s="3"/>
      <x:c r="M159" s="3" t="str">
        <x:f>IF($B159="","",IFERROR(VLOOKUP($B159,Clinicas!$A$4:$R$205,16,FALSE),"Confirmar"))</x:f>
      </x:c>
      <x:c r="N159" s="3" t="str">
        <x:f>IF($B159="","",IFERROR(VLOOKUP($B159,Clinicas!$A$4:$R$205,13,FALSE),""))</x:f>
      </x:c>
      <x:c r="O159" s="3"/>
    </x:row>
    <x:row r="160">
      <x:c r="A160" s="5"/>
      <x:c r="B160" s="3" t="str"/>
      <x:c r="C160" s="3" t="str">
        <x:f>IF($B160="","",IFERROR(VLOOKUP($B160,Clinicas!$A$4:$R$205,2,FALSE),"ID nao cadastrado"))</x:f>
      </x:c>
      <x:c r="D160" s="3" t="str">
        <x:f>IF($B160="","",IFERROR(VLOOKUP($B160,Clinicas!$A$4:$R$205,4,FALSE),""))</x:f>
      </x:c>
      <x:c r="E160" s="3" t="str"/>
      <x:c r="F160" s="6" t="str"/>
      <x:c r="G160" s="6" t="str">
        <x:f>IF(OR($E160="",$F160=""),"",$F160/$E160)</x:f>
      </x:c>
      <x:c r="H160" s="3" t="str">
        <x:v>Exames de ultrassonografia veterinaria</x:v>
      </x:c>
      <x:c r="I160" s="3" t="str">
        <x:f>IF($A160="","",$H160&amp;" - "&amp;$E160&amp;" exame(s) realizado(s) em "&amp;TEXT($A160,"dd/mm/yyyy")&amp;". Valor referente ao Pix recebido em "&amp;TEXT($A160,"dd/mm/yyyy")&amp;".")</x:f>
      </x:c>
      <x:c r="J160" s="5" t="str">
        <x:f>IF($A160="","",$A160)</x:f>
      </x:c>
      <x:c r="K160" s="3" t="str"/>
      <x:c r="L160" s="3"/>
      <x:c r="M160" s="3" t="str">
        <x:f>IF($B160="","",IFERROR(VLOOKUP($B160,Clinicas!$A$4:$R$205,16,FALSE),"Confirmar"))</x:f>
      </x:c>
      <x:c r="N160" s="3" t="str">
        <x:f>IF($B160="","",IFERROR(VLOOKUP($B160,Clinicas!$A$4:$R$205,13,FALSE),""))</x:f>
      </x:c>
      <x:c r="O160" s="3"/>
    </x:row>
    <x:row r="161">
      <x:c r="A161" s="5"/>
      <x:c r="B161" s="3" t="str"/>
      <x:c r="C161" s="3" t="str">
        <x:f>IF($B161="","",IFERROR(VLOOKUP($B161,Clinicas!$A$4:$R$205,2,FALSE),"ID nao cadastrado"))</x:f>
      </x:c>
      <x:c r="D161" s="3" t="str">
        <x:f>IF($B161="","",IFERROR(VLOOKUP($B161,Clinicas!$A$4:$R$205,4,FALSE),""))</x:f>
      </x:c>
      <x:c r="E161" s="3" t="str"/>
      <x:c r="F161" s="6" t="str"/>
      <x:c r="G161" s="6" t="str">
        <x:f>IF(OR($E161="",$F161=""),"",$F161/$E161)</x:f>
      </x:c>
      <x:c r="H161" s="3" t="str">
        <x:v>Exames de ultrassonografia veterinaria</x:v>
      </x:c>
      <x:c r="I161" s="3" t="str">
        <x:f>IF($A161="","",$H161&amp;" - "&amp;$E161&amp;" exame(s) realizado(s) em "&amp;TEXT($A161,"dd/mm/yyyy")&amp;". Valor referente ao Pix recebido em "&amp;TEXT($A161,"dd/mm/yyyy")&amp;".")</x:f>
      </x:c>
      <x:c r="J161" s="5" t="str">
        <x:f>IF($A161="","",$A161)</x:f>
      </x:c>
      <x:c r="K161" s="3" t="str"/>
      <x:c r="L161" s="3"/>
      <x:c r="M161" s="3" t="str">
        <x:f>IF($B161="","",IFERROR(VLOOKUP($B161,Clinicas!$A$4:$R$205,16,FALSE),"Confirmar"))</x:f>
      </x:c>
      <x:c r="N161" s="3" t="str">
        <x:f>IF($B161="","",IFERROR(VLOOKUP($B161,Clinicas!$A$4:$R$205,13,FALSE),""))</x:f>
      </x:c>
      <x:c r="O161" s="3"/>
    </x:row>
    <x:row r="162">
      <x:c r="A162" s="5"/>
      <x:c r="B162" s="3" t="str"/>
      <x:c r="C162" s="3" t="str">
        <x:f>IF($B162="","",IFERROR(VLOOKUP($B162,Clinicas!$A$4:$R$205,2,FALSE),"ID nao cadastrado"))</x:f>
      </x:c>
      <x:c r="D162" s="3" t="str">
        <x:f>IF($B162="","",IFERROR(VLOOKUP($B162,Clinicas!$A$4:$R$205,4,FALSE),""))</x:f>
      </x:c>
      <x:c r="E162" s="3" t="str"/>
      <x:c r="F162" s="6" t="str"/>
      <x:c r="G162" s="6" t="str">
        <x:f>IF(OR($E162="",$F162=""),"",$F162/$E162)</x:f>
      </x:c>
      <x:c r="H162" s="3" t="str">
        <x:v>Exames de ultrassonografia veterinaria</x:v>
      </x:c>
      <x:c r="I162" s="3" t="str">
        <x:f>IF($A162="","",$H162&amp;" - "&amp;$E162&amp;" exame(s) realizado(s) em "&amp;TEXT($A162,"dd/mm/yyyy")&amp;". Valor referente ao Pix recebido em "&amp;TEXT($A162,"dd/mm/yyyy")&amp;".")</x:f>
      </x:c>
      <x:c r="J162" s="5" t="str">
        <x:f>IF($A162="","",$A162)</x:f>
      </x:c>
      <x:c r="K162" s="3" t="str"/>
      <x:c r="L162" s="3"/>
      <x:c r="M162" s="3" t="str">
        <x:f>IF($B162="","",IFERROR(VLOOKUP($B162,Clinicas!$A$4:$R$205,16,FALSE),"Confirmar"))</x:f>
      </x:c>
      <x:c r="N162" s="3" t="str">
        <x:f>IF($B162="","",IFERROR(VLOOKUP($B162,Clinicas!$A$4:$R$205,13,FALSE),""))</x:f>
      </x:c>
      <x:c r="O162" s="3"/>
    </x:row>
    <x:row r="163">
      <x:c r="A163" s="5"/>
      <x:c r="B163" s="3" t="str"/>
      <x:c r="C163" s="3" t="str">
        <x:f>IF($B163="","",IFERROR(VLOOKUP($B163,Clinicas!$A$4:$R$205,2,FALSE),"ID nao cadastrado"))</x:f>
      </x:c>
      <x:c r="D163" s="3" t="str">
        <x:f>IF($B163="","",IFERROR(VLOOKUP($B163,Clinicas!$A$4:$R$205,4,FALSE),""))</x:f>
      </x:c>
      <x:c r="E163" s="3" t="str"/>
      <x:c r="F163" s="6" t="str"/>
      <x:c r="G163" s="6" t="str">
        <x:f>IF(OR($E163="",$F163=""),"",$F163/$E163)</x:f>
      </x:c>
      <x:c r="H163" s="3" t="str">
        <x:v>Exames de ultrassonografia veterinaria</x:v>
      </x:c>
      <x:c r="I163" s="3" t="str">
        <x:f>IF($A163="","",$H163&amp;" - "&amp;$E163&amp;" exame(s) realizado(s) em "&amp;TEXT($A163,"dd/mm/yyyy")&amp;". Valor referente ao Pix recebido em "&amp;TEXT($A163,"dd/mm/yyyy")&amp;".")</x:f>
      </x:c>
      <x:c r="J163" s="5" t="str">
        <x:f>IF($A163="","",$A163)</x:f>
      </x:c>
      <x:c r="K163" s="3" t="str"/>
      <x:c r="L163" s="3"/>
      <x:c r="M163" s="3" t="str">
        <x:f>IF($B163="","",IFERROR(VLOOKUP($B163,Clinicas!$A$4:$R$205,16,FALSE),"Confirmar"))</x:f>
      </x:c>
      <x:c r="N163" s="3" t="str">
        <x:f>IF($B163="","",IFERROR(VLOOKUP($B163,Clinicas!$A$4:$R$205,13,FALSE),""))</x:f>
      </x:c>
      <x:c r="O163" s="3"/>
    </x:row>
    <x:row r="164">
      <x:c r="A164" s="5"/>
      <x:c r="B164" s="3" t="str"/>
      <x:c r="C164" s="3" t="str">
        <x:f>IF($B164="","",IFERROR(VLOOKUP($B164,Clinicas!$A$4:$R$205,2,FALSE),"ID nao cadastrado"))</x:f>
      </x:c>
      <x:c r="D164" s="3" t="str">
        <x:f>IF($B164="","",IFERROR(VLOOKUP($B164,Clinicas!$A$4:$R$205,4,FALSE),""))</x:f>
      </x:c>
      <x:c r="E164" s="3" t="str"/>
      <x:c r="F164" s="6" t="str"/>
      <x:c r="G164" s="6" t="str">
        <x:f>IF(OR($E164="",$F164=""),"",$F164/$E164)</x:f>
      </x:c>
      <x:c r="H164" s="3" t="str">
        <x:v>Exames de ultrassonografia veterinaria</x:v>
      </x:c>
      <x:c r="I164" s="3" t="str">
        <x:f>IF($A164="","",$H164&amp;" - "&amp;$E164&amp;" exame(s) realizado(s) em "&amp;TEXT($A164,"dd/mm/yyyy")&amp;". Valor referente ao Pix recebido em "&amp;TEXT($A164,"dd/mm/yyyy")&amp;".")</x:f>
      </x:c>
      <x:c r="J164" s="5" t="str">
        <x:f>IF($A164="","",$A164)</x:f>
      </x:c>
      <x:c r="K164" s="3" t="str"/>
      <x:c r="L164" s="3"/>
      <x:c r="M164" s="3" t="str">
        <x:f>IF($B164="","",IFERROR(VLOOKUP($B164,Clinicas!$A$4:$R$205,16,FALSE),"Confirmar"))</x:f>
      </x:c>
      <x:c r="N164" s="3" t="str">
        <x:f>IF($B164="","",IFERROR(VLOOKUP($B164,Clinicas!$A$4:$R$205,13,FALSE),""))</x:f>
      </x:c>
      <x:c r="O164" s="3"/>
    </x:row>
    <x:row r="165">
      <x:c r="A165" s="5"/>
      <x:c r="B165" s="3" t="str"/>
      <x:c r="C165" s="3" t="str">
        <x:f>IF($B165="","",IFERROR(VLOOKUP($B165,Clinicas!$A$4:$R$205,2,FALSE),"ID nao cadastrado"))</x:f>
      </x:c>
      <x:c r="D165" s="3" t="str">
        <x:f>IF($B165="","",IFERROR(VLOOKUP($B165,Clinicas!$A$4:$R$205,4,FALSE),""))</x:f>
      </x:c>
      <x:c r="E165" s="3" t="str"/>
      <x:c r="F165" s="6" t="str"/>
      <x:c r="G165" s="6" t="str">
        <x:f>IF(OR($E165="",$F165=""),"",$F165/$E165)</x:f>
      </x:c>
      <x:c r="H165" s="3" t="str">
        <x:v>Exames de ultrassonografia veterinaria</x:v>
      </x:c>
      <x:c r="I165" s="3" t="str">
        <x:f>IF($A165="","",$H165&amp;" - "&amp;$E165&amp;" exame(s) realizado(s) em "&amp;TEXT($A165,"dd/mm/yyyy")&amp;". Valor referente ao Pix recebido em "&amp;TEXT($A165,"dd/mm/yyyy")&amp;".")</x:f>
      </x:c>
      <x:c r="J165" s="5" t="str">
        <x:f>IF($A165="","",$A165)</x:f>
      </x:c>
      <x:c r="K165" s="3" t="str"/>
      <x:c r="L165" s="3"/>
      <x:c r="M165" s="3" t="str">
        <x:f>IF($B165="","",IFERROR(VLOOKUP($B165,Clinicas!$A$4:$R$205,16,FALSE),"Confirmar"))</x:f>
      </x:c>
      <x:c r="N165" s="3" t="str">
        <x:f>IF($B165="","",IFERROR(VLOOKUP($B165,Clinicas!$A$4:$R$205,13,FALSE),""))</x:f>
      </x:c>
      <x:c r="O165" s="3"/>
    </x:row>
    <x:row r="166">
      <x:c r="A166" s="5"/>
      <x:c r="B166" s="3" t="str"/>
      <x:c r="C166" s="3" t="str">
        <x:f>IF($B166="","",IFERROR(VLOOKUP($B166,Clinicas!$A$4:$R$205,2,FALSE),"ID nao cadastrado"))</x:f>
      </x:c>
      <x:c r="D166" s="3" t="str">
        <x:f>IF($B166="","",IFERROR(VLOOKUP($B166,Clinicas!$A$4:$R$205,4,FALSE),""))</x:f>
      </x:c>
      <x:c r="E166" s="3" t="str"/>
      <x:c r="F166" s="6" t="str"/>
      <x:c r="G166" s="6" t="str">
        <x:f>IF(OR($E166="",$F166=""),"",$F166/$E166)</x:f>
      </x:c>
      <x:c r="H166" s="3" t="str">
        <x:v>Exames de ultrassonografia veterinaria</x:v>
      </x:c>
      <x:c r="I166" s="3" t="str">
        <x:f>IF($A166="","",$H166&amp;" - "&amp;$E166&amp;" exame(s) realizado(s) em "&amp;TEXT($A166,"dd/mm/yyyy")&amp;". Valor referente ao Pix recebido em "&amp;TEXT($A166,"dd/mm/yyyy")&amp;".")</x:f>
      </x:c>
      <x:c r="J166" s="5" t="str">
        <x:f>IF($A166="","",$A166)</x:f>
      </x:c>
      <x:c r="K166" s="3" t="str"/>
      <x:c r="L166" s="3"/>
      <x:c r="M166" s="3" t="str">
        <x:f>IF($B166="","",IFERROR(VLOOKUP($B166,Clinicas!$A$4:$R$205,16,FALSE),"Confirmar"))</x:f>
      </x:c>
      <x:c r="N166" s="3" t="str">
        <x:f>IF($B166="","",IFERROR(VLOOKUP($B166,Clinicas!$A$4:$R$205,13,FALSE),""))</x:f>
      </x:c>
      <x:c r="O166" s="3"/>
    </x:row>
    <x:row r="167">
      <x:c r="A167" s="5"/>
      <x:c r="B167" s="3" t="str"/>
      <x:c r="C167" s="3" t="str">
        <x:f>IF($B167="","",IFERROR(VLOOKUP($B167,Clinicas!$A$4:$R$205,2,FALSE),"ID nao cadastrado"))</x:f>
      </x:c>
      <x:c r="D167" s="3" t="str">
        <x:f>IF($B167="","",IFERROR(VLOOKUP($B167,Clinicas!$A$4:$R$205,4,FALSE),""))</x:f>
      </x:c>
      <x:c r="E167" s="3" t="str"/>
      <x:c r="F167" s="6" t="str"/>
      <x:c r="G167" s="6" t="str">
        <x:f>IF(OR($E167="",$F167=""),"",$F167/$E167)</x:f>
      </x:c>
      <x:c r="H167" s="3" t="str">
        <x:v>Exames de ultrassonografia veterinaria</x:v>
      </x:c>
      <x:c r="I167" s="3" t="str">
        <x:f>IF($A167="","",$H167&amp;" - "&amp;$E167&amp;" exame(s) realizado(s) em "&amp;TEXT($A167,"dd/mm/yyyy")&amp;". Valor referente ao Pix recebido em "&amp;TEXT($A167,"dd/mm/yyyy")&amp;".")</x:f>
      </x:c>
      <x:c r="J167" s="5" t="str">
        <x:f>IF($A167="","",$A167)</x:f>
      </x:c>
      <x:c r="K167" s="3" t="str"/>
      <x:c r="L167" s="3"/>
      <x:c r="M167" s="3" t="str">
        <x:f>IF($B167="","",IFERROR(VLOOKUP($B167,Clinicas!$A$4:$R$205,16,FALSE),"Confirmar"))</x:f>
      </x:c>
      <x:c r="N167" s="3" t="str">
        <x:f>IF($B167="","",IFERROR(VLOOKUP($B167,Clinicas!$A$4:$R$205,13,FALSE),""))</x:f>
      </x:c>
      <x:c r="O167" s="3"/>
    </x:row>
    <x:row r="168">
      <x:c r="A168" s="5"/>
      <x:c r="B168" s="3" t="str"/>
      <x:c r="C168" s="3" t="str">
        <x:f>IF($B168="","",IFERROR(VLOOKUP($B168,Clinicas!$A$4:$R$205,2,FALSE),"ID nao cadastrado"))</x:f>
      </x:c>
      <x:c r="D168" s="3" t="str">
        <x:f>IF($B168="","",IFERROR(VLOOKUP($B168,Clinicas!$A$4:$R$205,4,FALSE),""))</x:f>
      </x:c>
      <x:c r="E168" s="3" t="str"/>
      <x:c r="F168" s="6" t="str"/>
      <x:c r="G168" s="6" t="str">
        <x:f>IF(OR($E168="",$F168=""),"",$F168/$E168)</x:f>
      </x:c>
      <x:c r="H168" s="3" t="str">
        <x:v>Exames de ultrassonografia veterinaria</x:v>
      </x:c>
      <x:c r="I168" s="3" t="str">
        <x:f>IF($A168="","",$H168&amp;" - "&amp;$E168&amp;" exame(s) realizado(s) em "&amp;TEXT($A168,"dd/mm/yyyy")&amp;". Valor referente ao Pix recebido em "&amp;TEXT($A168,"dd/mm/yyyy")&amp;".")</x:f>
      </x:c>
      <x:c r="J168" s="5" t="str">
        <x:f>IF($A168="","",$A168)</x:f>
      </x:c>
      <x:c r="K168" s="3" t="str"/>
      <x:c r="L168" s="3"/>
      <x:c r="M168" s="3" t="str">
        <x:f>IF($B168="","",IFERROR(VLOOKUP($B168,Clinicas!$A$4:$R$205,16,FALSE),"Confirmar"))</x:f>
      </x:c>
      <x:c r="N168" s="3" t="str">
        <x:f>IF($B168="","",IFERROR(VLOOKUP($B168,Clinicas!$A$4:$R$205,13,FALSE),""))</x:f>
      </x:c>
      <x:c r="O168" s="3"/>
    </x:row>
    <x:row r="169">
      <x:c r="A169" s="5"/>
      <x:c r="B169" s="3" t="str"/>
      <x:c r="C169" s="3" t="str">
        <x:f>IF($B169="","",IFERROR(VLOOKUP($B169,Clinicas!$A$4:$R$205,2,FALSE),"ID nao cadastrado"))</x:f>
      </x:c>
      <x:c r="D169" s="3" t="str">
        <x:f>IF($B169="","",IFERROR(VLOOKUP($B169,Clinicas!$A$4:$R$205,4,FALSE),""))</x:f>
      </x:c>
      <x:c r="E169" s="3" t="str"/>
      <x:c r="F169" s="6" t="str"/>
      <x:c r="G169" s="6" t="str">
        <x:f>IF(OR($E169="",$F169=""),"",$F169/$E169)</x:f>
      </x:c>
      <x:c r="H169" s="3" t="str">
        <x:v>Exames de ultrassonografia veterinaria</x:v>
      </x:c>
      <x:c r="I169" s="3" t="str">
        <x:f>IF($A169="","",$H169&amp;" - "&amp;$E169&amp;" exame(s) realizado(s) em "&amp;TEXT($A169,"dd/mm/yyyy")&amp;". Valor referente ao Pix recebido em "&amp;TEXT($A169,"dd/mm/yyyy")&amp;".")</x:f>
      </x:c>
      <x:c r="J169" s="5" t="str">
        <x:f>IF($A169="","",$A169)</x:f>
      </x:c>
      <x:c r="K169" s="3" t="str"/>
      <x:c r="L169" s="3"/>
      <x:c r="M169" s="3" t="str">
        <x:f>IF($B169="","",IFERROR(VLOOKUP($B169,Clinicas!$A$4:$R$205,16,FALSE),"Confirmar"))</x:f>
      </x:c>
      <x:c r="N169" s="3" t="str">
        <x:f>IF($B169="","",IFERROR(VLOOKUP($B169,Clinicas!$A$4:$R$205,13,FALSE),""))</x:f>
      </x:c>
      <x:c r="O169" s="3"/>
    </x:row>
    <x:row r="170">
      <x:c r="A170" s="5"/>
      <x:c r="B170" s="3" t="str"/>
      <x:c r="C170" s="3" t="str">
        <x:f>IF($B170="","",IFERROR(VLOOKUP($B170,Clinicas!$A$4:$R$205,2,FALSE),"ID nao cadastrado"))</x:f>
      </x:c>
      <x:c r="D170" s="3" t="str">
        <x:f>IF($B170="","",IFERROR(VLOOKUP($B170,Clinicas!$A$4:$R$205,4,FALSE),""))</x:f>
      </x:c>
      <x:c r="E170" s="3" t="str"/>
      <x:c r="F170" s="6" t="str"/>
      <x:c r="G170" s="6" t="str">
        <x:f>IF(OR($E170="",$F170=""),"",$F170/$E170)</x:f>
      </x:c>
      <x:c r="H170" s="3" t="str">
        <x:v>Exames de ultrassonografia veterinaria</x:v>
      </x:c>
      <x:c r="I170" s="3" t="str">
        <x:f>IF($A170="","",$H170&amp;" - "&amp;$E170&amp;" exame(s) realizado(s) em "&amp;TEXT($A170,"dd/mm/yyyy")&amp;". Valor referente ao Pix recebido em "&amp;TEXT($A170,"dd/mm/yyyy")&amp;".")</x:f>
      </x:c>
      <x:c r="J170" s="5" t="str">
        <x:f>IF($A170="","",$A170)</x:f>
      </x:c>
      <x:c r="K170" s="3" t="str"/>
      <x:c r="L170" s="3"/>
      <x:c r="M170" s="3" t="str">
        <x:f>IF($B170="","",IFERROR(VLOOKUP($B170,Clinicas!$A$4:$R$205,16,FALSE),"Confirmar"))</x:f>
      </x:c>
      <x:c r="N170" s="3" t="str">
        <x:f>IF($B170="","",IFERROR(VLOOKUP($B170,Clinicas!$A$4:$R$205,13,FALSE),""))</x:f>
      </x:c>
      <x:c r="O170" s="3"/>
    </x:row>
    <x:row r="171">
      <x:c r="A171" s="5"/>
      <x:c r="B171" s="3" t="str"/>
      <x:c r="C171" s="3" t="str">
        <x:f>IF($B171="","",IFERROR(VLOOKUP($B171,Clinicas!$A$4:$R$205,2,FALSE),"ID nao cadastrado"))</x:f>
      </x:c>
      <x:c r="D171" s="3" t="str">
        <x:f>IF($B171="","",IFERROR(VLOOKUP($B171,Clinicas!$A$4:$R$205,4,FALSE),""))</x:f>
      </x:c>
      <x:c r="E171" s="3" t="str"/>
      <x:c r="F171" s="6" t="str"/>
      <x:c r="G171" s="6" t="str">
        <x:f>IF(OR($E171="",$F171=""),"",$F171/$E171)</x:f>
      </x:c>
      <x:c r="H171" s="3" t="str">
        <x:v>Exames de ultrassonografia veterinaria</x:v>
      </x:c>
      <x:c r="I171" s="3" t="str">
        <x:f>IF($A171="","",$H171&amp;" - "&amp;$E171&amp;" exame(s) realizado(s) em "&amp;TEXT($A171,"dd/mm/yyyy")&amp;". Valor referente ao Pix recebido em "&amp;TEXT($A171,"dd/mm/yyyy")&amp;".")</x:f>
      </x:c>
      <x:c r="J171" s="5" t="str">
        <x:f>IF($A171="","",$A171)</x:f>
      </x:c>
      <x:c r="K171" s="3" t="str"/>
      <x:c r="L171" s="3"/>
      <x:c r="M171" s="3" t="str">
        <x:f>IF($B171="","",IFERROR(VLOOKUP($B171,Clinicas!$A$4:$R$205,16,FALSE),"Confirmar"))</x:f>
      </x:c>
      <x:c r="N171" s="3" t="str">
        <x:f>IF($B171="","",IFERROR(VLOOKUP($B171,Clinicas!$A$4:$R$205,13,FALSE),""))</x:f>
      </x:c>
      <x:c r="O171" s="3"/>
    </x:row>
    <x:row r="172">
      <x:c r="A172" s="5"/>
      <x:c r="B172" s="3" t="str"/>
      <x:c r="C172" s="3" t="str">
        <x:f>IF($B172="","",IFERROR(VLOOKUP($B172,Clinicas!$A$4:$R$205,2,FALSE),"ID nao cadastrado"))</x:f>
      </x:c>
      <x:c r="D172" s="3" t="str">
        <x:f>IF($B172="","",IFERROR(VLOOKUP($B172,Clinicas!$A$4:$R$205,4,FALSE),""))</x:f>
      </x:c>
      <x:c r="E172" s="3" t="str"/>
      <x:c r="F172" s="6" t="str"/>
      <x:c r="G172" s="6" t="str">
        <x:f>IF(OR($E172="",$F172=""),"",$F172/$E172)</x:f>
      </x:c>
      <x:c r="H172" s="3" t="str">
        <x:v>Exames de ultrassonografia veterinaria</x:v>
      </x:c>
      <x:c r="I172" s="3" t="str">
        <x:f>IF($A172="","",$H172&amp;" - "&amp;$E172&amp;" exame(s) realizado(s) em "&amp;TEXT($A172,"dd/mm/yyyy")&amp;". Valor referente ao Pix recebido em "&amp;TEXT($A172,"dd/mm/yyyy")&amp;".")</x:f>
      </x:c>
      <x:c r="J172" s="5" t="str">
        <x:f>IF($A172="","",$A172)</x:f>
      </x:c>
      <x:c r="K172" s="3" t="str"/>
      <x:c r="L172" s="3"/>
      <x:c r="M172" s="3" t="str">
        <x:f>IF($B172="","",IFERROR(VLOOKUP($B172,Clinicas!$A$4:$R$205,16,FALSE),"Confirmar"))</x:f>
      </x:c>
      <x:c r="N172" s="3" t="str">
        <x:f>IF($B172="","",IFERROR(VLOOKUP($B172,Clinicas!$A$4:$R$205,13,FALSE),""))</x:f>
      </x:c>
      <x:c r="O172" s="3"/>
    </x:row>
    <x:row r="173">
      <x:c r="A173" s="5"/>
      <x:c r="B173" s="3" t="str"/>
      <x:c r="C173" s="3" t="str">
        <x:f>IF($B173="","",IFERROR(VLOOKUP($B173,Clinicas!$A$4:$R$205,2,FALSE),"ID nao cadastrado"))</x:f>
      </x:c>
      <x:c r="D173" s="3" t="str">
        <x:f>IF($B173="","",IFERROR(VLOOKUP($B173,Clinicas!$A$4:$R$205,4,FALSE),""))</x:f>
      </x:c>
      <x:c r="E173" s="3" t="str"/>
      <x:c r="F173" s="6" t="str"/>
      <x:c r="G173" s="6" t="str">
        <x:f>IF(OR($E173="",$F173=""),"",$F173/$E173)</x:f>
      </x:c>
      <x:c r="H173" s="3" t="str">
        <x:v>Exames de ultrassonografia veterinaria</x:v>
      </x:c>
      <x:c r="I173" s="3" t="str">
        <x:f>IF($A173="","",$H173&amp;" - "&amp;$E173&amp;" exame(s) realizado(s) em "&amp;TEXT($A173,"dd/mm/yyyy")&amp;". Valor referente ao Pix recebido em "&amp;TEXT($A173,"dd/mm/yyyy")&amp;".")</x:f>
      </x:c>
      <x:c r="J173" s="5" t="str">
        <x:f>IF($A173="","",$A173)</x:f>
      </x:c>
      <x:c r="K173" s="3" t="str"/>
      <x:c r="L173" s="3"/>
      <x:c r="M173" s="3" t="str">
        <x:f>IF($B173="","",IFERROR(VLOOKUP($B173,Clinicas!$A$4:$R$205,16,FALSE),"Confirmar"))</x:f>
      </x:c>
      <x:c r="N173" s="3" t="str">
        <x:f>IF($B173="","",IFERROR(VLOOKUP($B173,Clinicas!$A$4:$R$205,13,FALSE),""))</x:f>
      </x:c>
      <x:c r="O173" s="3"/>
    </x:row>
    <x:row r="174">
      <x:c r="A174" s="5"/>
      <x:c r="B174" s="3" t="str"/>
      <x:c r="C174" s="3" t="str">
        <x:f>IF($B174="","",IFERROR(VLOOKUP($B174,Clinicas!$A$4:$R$205,2,FALSE),"ID nao cadastrado"))</x:f>
      </x:c>
      <x:c r="D174" s="3" t="str">
        <x:f>IF($B174="","",IFERROR(VLOOKUP($B174,Clinicas!$A$4:$R$205,4,FALSE),""))</x:f>
      </x:c>
      <x:c r="E174" s="3" t="str"/>
      <x:c r="F174" s="6" t="str"/>
      <x:c r="G174" s="6" t="str">
        <x:f>IF(OR($E174="",$F174=""),"",$F174/$E174)</x:f>
      </x:c>
      <x:c r="H174" s="3" t="str">
        <x:v>Exames de ultrassonografia veterinaria</x:v>
      </x:c>
      <x:c r="I174" s="3" t="str">
        <x:f>IF($A174="","",$H174&amp;" - "&amp;$E174&amp;" exame(s) realizado(s) em "&amp;TEXT($A174,"dd/mm/yyyy")&amp;". Valor referente ao Pix recebido em "&amp;TEXT($A174,"dd/mm/yyyy")&amp;".")</x:f>
      </x:c>
      <x:c r="J174" s="5" t="str">
        <x:f>IF($A174="","",$A174)</x:f>
      </x:c>
      <x:c r="K174" s="3" t="str"/>
      <x:c r="L174" s="3"/>
      <x:c r="M174" s="3" t="str">
        <x:f>IF($B174="","",IFERROR(VLOOKUP($B174,Clinicas!$A$4:$R$205,16,FALSE),"Confirmar"))</x:f>
      </x:c>
      <x:c r="N174" s="3" t="str">
        <x:f>IF($B174="","",IFERROR(VLOOKUP($B174,Clinicas!$A$4:$R$205,13,FALSE),""))</x:f>
      </x:c>
      <x:c r="O174" s="3"/>
    </x:row>
    <x:row r="175">
      <x:c r="A175" s="5"/>
      <x:c r="B175" s="3" t="str"/>
      <x:c r="C175" s="3" t="str">
        <x:f>IF($B175="","",IFERROR(VLOOKUP($B175,Clinicas!$A$4:$R$205,2,FALSE),"ID nao cadastrado"))</x:f>
      </x:c>
      <x:c r="D175" s="3" t="str">
        <x:f>IF($B175="","",IFERROR(VLOOKUP($B175,Clinicas!$A$4:$R$205,4,FALSE),""))</x:f>
      </x:c>
      <x:c r="E175" s="3" t="str"/>
      <x:c r="F175" s="6" t="str"/>
      <x:c r="G175" s="6" t="str">
        <x:f>IF(OR($E175="",$F175=""),"",$F175/$E175)</x:f>
      </x:c>
      <x:c r="H175" s="3" t="str">
        <x:v>Exames de ultrassonografia veterinaria</x:v>
      </x:c>
      <x:c r="I175" s="3" t="str">
        <x:f>IF($A175="","",$H175&amp;" - "&amp;$E175&amp;" exame(s) realizado(s) em "&amp;TEXT($A175,"dd/mm/yyyy")&amp;". Valor referente ao Pix recebido em "&amp;TEXT($A175,"dd/mm/yyyy")&amp;".")</x:f>
      </x:c>
      <x:c r="J175" s="5" t="str">
        <x:f>IF($A175="","",$A175)</x:f>
      </x:c>
      <x:c r="K175" s="3" t="str"/>
      <x:c r="L175" s="3"/>
      <x:c r="M175" s="3" t="str">
        <x:f>IF($B175="","",IFERROR(VLOOKUP($B175,Clinicas!$A$4:$R$205,16,FALSE),"Confirmar"))</x:f>
      </x:c>
      <x:c r="N175" s="3" t="str">
        <x:f>IF($B175="","",IFERROR(VLOOKUP($B175,Clinicas!$A$4:$R$205,13,FALSE),""))</x:f>
      </x:c>
      <x:c r="O175" s="3"/>
    </x:row>
    <x:row r="176">
      <x:c r="A176" s="5"/>
      <x:c r="B176" s="3" t="str"/>
      <x:c r="C176" s="3" t="str">
        <x:f>IF($B176="","",IFERROR(VLOOKUP($B176,Clinicas!$A$4:$R$205,2,FALSE),"ID nao cadastrado"))</x:f>
      </x:c>
      <x:c r="D176" s="3" t="str">
        <x:f>IF($B176="","",IFERROR(VLOOKUP($B176,Clinicas!$A$4:$R$205,4,FALSE),""))</x:f>
      </x:c>
      <x:c r="E176" s="3" t="str"/>
      <x:c r="F176" s="6" t="str"/>
      <x:c r="G176" s="6" t="str">
        <x:f>IF(OR($E176="",$F176=""),"",$F176/$E176)</x:f>
      </x:c>
      <x:c r="H176" s="3" t="str">
        <x:v>Exames de ultrassonografia veterinaria</x:v>
      </x:c>
      <x:c r="I176" s="3" t="str">
        <x:f>IF($A176="","",$H176&amp;" - "&amp;$E176&amp;" exame(s) realizado(s) em "&amp;TEXT($A176,"dd/mm/yyyy")&amp;". Valor referente ao Pix recebido em "&amp;TEXT($A176,"dd/mm/yyyy")&amp;".")</x:f>
      </x:c>
      <x:c r="J176" s="5" t="str">
        <x:f>IF($A176="","",$A176)</x:f>
      </x:c>
      <x:c r="K176" s="3" t="str"/>
      <x:c r="L176" s="3"/>
      <x:c r="M176" s="3" t="str">
        <x:f>IF($B176="","",IFERROR(VLOOKUP($B176,Clinicas!$A$4:$R$205,16,FALSE),"Confirmar"))</x:f>
      </x:c>
      <x:c r="N176" s="3" t="str">
        <x:f>IF($B176="","",IFERROR(VLOOKUP($B176,Clinicas!$A$4:$R$205,13,FALSE),""))</x:f>
      </x:c>
      <x:c r="O176" s="3"/>
    </x:row>
    <x:row r="177">
      <x:c r="A177" s="5"/>
      <x:c r="B177" s="3" t="str"/>
      <x:c r="C177" s="3" t="str">
        <x:f>IF($B177="","",IFERROR(VLOOKUP($B177,Clinicas!$A$4:$R$205,2,FALSE),"ID nao cadastrado"))</x:f>
      </x:c>
      <x:c r="D177" s="3" t="str">
        <x:f>IF($B177="","",IFERROR(VLOOKUP($B177,Clinicas!$A$4:$R$205,4,FALSE),""))</x:f>
      </x:c>
      <x:c r="E177" s="3" t="str"/>
      <x:c r="F177" s="6" t="str"/>
      <x:c r="G177" s="6" t="str">
        <x:f>IF(OR($E177="",$F177=""),"",$F177/$E177)</x:f>
      </x:c>
      <x:c r="H177" s="3" t="str">
        <x:v>Exames de ultrassonografia veterinaria</x:v>
      </x:c>
      <x:c r="I177" s="3" t="str">
        <x:f>IF($A177="","",$H177&amp;" - "&amp;$E177&amp;" exame(s) realizado(s) em "&amp;TEXT($A177,"dd/mm/yyyy")&amp;". Valor referente ao Pix recebido em "&amp;TEXT($A177,"dd/mm/yyyy")&amp;".")</x:f>
      </x:c>
      <x:c r="J177" s="5" t="str">
        <x:f>IF($A177="","",$A177)</x:f>
      </x:c>
      <x:c r="K177" s="3" t="str"/>
      <x:c r="L177" s="3"/>
      <x:c r="M177" s="3" t="str">
        <x:f>IF($B177="","",IFERROR(VLOOKUP($B177,Clinicas!$A$4:$R$205,16,FALSE),"Confirmar"))</x:f>
      </x:c>
      <x:c r="N177" s="3" t="str">
        <x:f>IF($B177="","",IFERROR(VLOOKUP($B177,Clinicas!$A$4:$R$205,13,FALSE),""))</x:f>
      </x:c>
      <x:c r="O177" s="3"/>
    </x:row>
    <x:row r="178">
      <x:c r="A178" s="5"/>
      <x:c r="B178" s="3" t="str"/>
      <x:c r="C178" s="3" t="str">
        <x:f>IF($B178="","",IFERROR(VLOOKUP($B178,Clinicas!$A$4:$R$205,2,FALSE),"ID nao cadastrado"))</x:f>
      </x:c>
      <x:c r="D178" s="3" t="str">
        <x:f>IF($B178="","",IFERROR(VLOOKUP($B178,Clinicas!$A$4:$R$205,4,FALSE),""))</x:f>
      </x:c>
      <x:c r="E178" s="3" t="str"/>
      <x:c r="F178" s="6" t="str"/>
      <x:c r="G178" s="6" t="str">
        <x:f>IF(OR($E178="",$F178=""),"",$F178/$E178)</x:f>
      </x:c>
      <x:c r="H178" s="3" t="str">
        <x:v>Exames de ultrassonografia veterinaria</x:v>
      </x:c>
      <x:c r="I178" s="3" t="str">
        <x:f>IF($A178="","",$H178&amp;" - "&amp;$E178&amp;" exame(s) realizado(s) em "&amp;TEXT($A178,"dd/mm/yyyy")&amp;". Valor referente ao Pix recebido em "&amp;TEXT($A178,"dd/mm/yyyy")&amp;".")</x:f>
      </x:c>
      <x:c r="J178" s="5" t="str">
        <x:f>IF($A178="","",$A178)</x:f>
      </x:c>
      <x:c r="K178" s="3" t="str"/>
      <x:c r="L178" s="3"/>
      <x:c r="M178" s="3" t="str">
        <x:f>IF($B178="","",IFERROR(VLOOKUP($B178,Clinicas!$A$4:$R$205,16,FALSE),"Confirmar"))</x:f>
      </x:c>
      <x:c r="N178" s="3" t="str">
        <x:f>IF($B178="","",IFERROR(VLOOKUP($B178,Clinicas!$A$4:$R$205,13,FALSE),""))</x:f>
      </x:c>
      <x:c r="O178" s="3"/>
    </x:row>
    <x:row r="179">
      <x:c r="A179" s="5"/>
      <x:c r="B179" s="3" t="str"/>
      <x:c r="C179" s="3" t="str">
        <x:f>IF($B179="","",IFERROR(VLOOKUP($B179,Clinicas!$A$4:$R$205,2,FALSE),"ID nao cadastrado"))</x:f>
      </x:c>
      <x:c r="D179" s="3" t="str">
        <x:f>IF($B179="","",IFERROR(VLOOKUP($B179,Clinicas!$A$4:$R$205,4,FALSE),""))</x:f>
      </x:c>
      <x:c r="E179" s="3" t="str"/>
      <x:c r="F179" s="6" t="str"/>
      <x:c r="G179" s="6" t="str">
        <x:f>IF(OR($E179="",$F179=""),"",$F179/$E179)</x:f>
      </x:c>
      <x:c r="H179" s="3" t="str">
        <x:v>Exames de ultrassonografia veterinaria</x:v>
      </x:c>
      <x:c r="I179" s="3" t="str">
        <x:f>IF($A179="","",$H179&amp;" - "&amp;$E179&amp;" exame(s) realizado(s) em "&amp;TEXT($A179,"dd/mm/yyyy")&amp;". Valor referente ao Pix recebido em "&amp;TEXT($A179,"dd/mm/yyyy")&amp;".")</x:f>
      </x:c>
      <x:c r="J179" s="5" t="str">
        <x:f>IF($A179="","",$A179)</x:f>
      </x:c>
      <x:c r="K179" s="3" t="str"/>
      <x:c r="L179" s="3"/>
      <x:c r="M179" s="3" t="str">
        <x:f>IF($B179="","",IFERROR(VLOOKUP($B179,Clinicas!$A$4:$R$205,16,FALSE),"Confirmar"))</x:f>
      </x:c>
      <x:c r="N179" s="3" t="str">
        <x:f>IF($B179="","",IFERROR(VLOOKUP($B179,Clinicas!$A$4:$R$205,13,FALSE),""))</x:f>
      </x:c>
      <x:c r="O179" s="3"/>
    </x:row>
    <x:row r="180">
      <x:c r="A180" s="5"/>
      <x:c r="B180" s="3" t="str"/>
      <x:c r="C180" s="3" t="str">
        <x:f>IF($B180="","",IFERROR(VLOOKUP($B180,Clinicas!$A$4:$R$205,2,FALSE),"ID nao cadastrado"))</x:f>
      </x:c>
      <x:c r="D180" s="3" t="str">
        <x:f>IF($B180="","",IFERROR(VLOOKUP($B180,Clinicas!$A$4:$R$205,4,FALSE),""))</x:f>
      </x:c>
      <x:c r="E180" s="3" t="str"/>
      <x:c r="F180" s="6" t="str"/>
      <x:c r="G180" s="6" t="str">
        <x:f>IF(OR($E180="",$F180=""),"",$F180/$E180)</x:f>
      </x:c>
      <x:c r="H180" s="3" t="str">
        <x:v>Exames de ultrassonografia veterinaria</x:v>
      </x:c>
      <x:c r="I180" s="3" t="str">
        <x:f>IF($A180="","",$H180&amp;" - "&amp;$E180&amp;" exame(s) realizado(s) em "&amp;TEXT($A180,"dd/mm/yyyy")&amp;". Valor referente ao Pix recebido em "&amp;TEXT($A180,"dd/mm/yyyy")&amp;".")</x:f>
      </x:c>
      <x:c r="J180" s="5" t="str">
        <x:f>IF($A180="","",$A180)</x:f>
      </x:c>
      <x:c r="K180" s="3" t="str"/>
      <x:c r="L180" s="3"/>
      <x:c r="M180" s="3" t="str">
        <x:f>IF($B180="","",IFERROR(VLOOKUP($B180,Clinicas!$A$4:$R$205,16,FALSE),"Confirmar"))</x:f>
      </x:c>
      <x:c r="N180" s="3" t="str">
        <x:f>IF($B180="","",IFERROR(VLOOKUP($B180,Clinicas!$A$4:$R$205,13,FALSE),""))</x:f>
      </x:c>
      <x:c r="O180" s="3"/>
    </x:row>
    <x:row r="181">
      <x:c r="A181" s="5"/>
      <x:c r="B181" s="3" t="str"/>
      <x:c r="C181" s="3" t="str">
        <x:f>IF($B181="","",IFERROR(VLOOKUP($B181,Clinicas!$A$4:$R$205,2,FALSE),"ID nao cadastrado"))</x:f>
      </x:c>
      <x:c r="D181" s="3" t="str">
        <x:f>IF($B181="","",IFERROR(VLOOKUP($B181,Clinicas!$A$4:$R$205,4,FALSE),""))</x:f>
      </x:c>
      <x:c r="E181" s="3" t="str"/>
      <x:c r="F181" s="6" t="str"/>
      <x:c r="G181" s="6" t="str">
        <x:f>IF(OR($E181="",$F181=""),"",$F181/$E181)</x:f>
      </x:c>
      <x:c r="H181" s="3" t="str">
        <x:v>Exames de ultrassonografia veterinaria</x:v>
      </x:c>
      <x:c r="I181" s="3" t="str">
        <x:f>IF($A181="","",$H181&amp;" - "&amp;$E181&amp;" exame(s) realizado(s) em "&amp;TEXT($A181,"dd/mm/yyyy")&amp;". Valor referente ao Pix recebido em "&amp;TEXT($A181,"dd/mm/yyyy")&amp;".")</x:f>
      </x:c>
      <x:c r="J181" s="5" t="str">
        <x:f>IF($A181="","",$A181)</x:f>
      </x:c>
      <x:c r="K181" s="3" t="str"/>
      <x:c r="L181" s="3"/>
      <x:c r="M181" s="3" t="str">
        <x:f>IF($B181="","",IFERROR(VLOOKUP($B181,Clinicas!$A$4:$R$205,16,FALSE),"Confirmar"))</x:f>
      </x:c>
      <x:c r="N181" s="3" t="str">
        <x:f>IF($B181="","",IFERROR(VLOOKUP($B181,Clinicas!$A$4:$R$205,13,FALSE),""))</x:f>
      </x:c>
      <x:c r="O181" s="3"/>
    </x:row>
    <x:row r="182">
      <x:c r="A182" s="5"/>
      <x:c r="B182" s="3" t="str"/>
      <x:c r="C182" s="3" t="str">
        <x:f>IF($B182="","",IFERROR(VLOOKUP($B182,Clinicas!$A$4:$R$205,2,FALSE),"ID nao cadastrado"))</x:f>
      </x:c>
      <x:c r="D182" s="3" t="str">
        <x:f>IF($B182="","",IFERROR(VLOOKUP($B182,Clinicas!$A$4:$R$205,4,FALSE),""))</x:f>
      </x:c>
      <x:c r="E182" s="3" t="str"/>
      <x:c r="F182" s="6" t="str"/>
      <x:c r="G182" s="6" t="str">
        <x:f>IF(OR($E182="",$F182=""),"",$F182/$E182)</x:f>
      </x:c>
      <x:c r="H182" s="3" t="str">
        <x:v>Exames de ultrassonografia veterinaria</x:v>
      </x:c>
      <x:c r="I182" s="3" t="str">
        <x:f>IF($A182="","",$H182&amp;" - "&amp;$E182&amp;" exame(s) realizado(s) em "&amp;TEXT($A182,"dd/mm/yyyy")&amp;". Valor referente ao Pix recebido em "&amp;TEXT($A182,"dd/mm/yyyy")&amp;".")</x:f>
      </x:c>
      <x:c r="J182" s="5" t="str">
        <x:f>IF($A182="","",$A182)</x:f>
      </x:c>
      <x:c r="K182" s="3" t="str"/>
      <x:c r="L182" s="3"/>
      <x:c r="M182" s="3" t="str">
        <x:f>IF($B182="","",IFERROR(VLOOKUP($B182,Clinicas!$A$4:$R$205,16,FALSE),"Confirmar"))</x:f>
      </x:c>
      <x:c r="N182" s="3" t="str">
        <x:f>IF($B182="","",IFERROR(VLOOKUP($B182,Clinicas!$A$4:$R$205,13,FALSE),""))</x:f>
      </x:c>
      <x:c r="O182" s="3"/>
    </x:row>
    <x:row r="183">
      <x:c r="A183" s="5"/>
      <x:c r="B183" s="3" t="str"/>
      <x:c r="C183" s="3" t="str">
        <x:f>IF($B183="","",IFERROR(VLOOKUP($B183,Clinicas!$A$4:$R$205,2,FALSE),"ID nao cadastrado"))</x:f>
      </x:c>
      <x:c r="D183" s="3" t="str">
        <x:f>IF($B183="","",IFERROR(VLOOKUP($B183,Clinicas!$A$4:$R$205,4,FALSE),""))</x:f>
      </x:c>
      <x:c r="E183" s="3" t="str"/>
      <x:c r="F183" s="6" t="str"/>
      <x:c r="G183" s="6" t="str">
        <x:f>IF(OR($E183="",$F183=""),"",$F183/$E183)</x:f>
      </x:c>
      <x:c r="H183" s="3" t="str">
        <x:v>Exames de ultrassonografia veterinaria</x:v>
      </x:c>
      <x:c r="I183" s="3" t="str">
        <x:f>IF($A183="","",$H183&amp;" - "&amp;$E183&amp;" exame(s) realizado(s) em "&amp;TEXT($A183,"dd/mm/yyyy")&amp;". Valor referente ao Pix recebido em "&amp;TEXT($A183,"dd/mm/yyyy")&amp;".")</x:f>
      </x:c>
      <x:c r="J183" s="5" t="str">
        <x:f>IF($A183="","",$A183)</x:f>
      </x:c>
      <x:c r="K183" s="3" t="str"/>
      <x:c r="L183" s="3"/>
      <x:c r="M183" s="3" t="str">
        <x:f>IF($B183="","",IFERROR(VLOOKUP($B183,Clinicas!$A$4:$R$205,16,FALSE),"Confirmar"))</x:f>
      </x:c>
      <x:c r="N183" s="3" t="str">
        <x:f>IF($B183="","",IFERROR(VLOOKUP($B183,Clinicas!$A$4:$R$205,13,FALSE),""))</x:f>
      </x:c>
      <x:c r="O183" s="3"/>
    </x:row>
    <x:row r="184">
      <x:c r="A184" s="5"/>
      <x:c r="B184" s="3" t="str"/>
      <x:c r="C184" s="3" t="str">
        <x:f>IF($B184="","",IFERROR(VLOOKUP($B184,Clinicas!$A$4:$R$205,2,FALSE),"ID nao cadastrado"))</x:f>
      </x:c>
      <x:c r="D184" s="3" t="str">
        <x:f>IF($B184="","",IFERROR(VLOOKUP($B184,Clinicas!$A$4:$R$205,4,FALSE),""))</x:f>
      </x:c>
      <x:c r="E184" s="3" t="str"/>
      <x:c r="F184" s="6" t="str"/>
      <x:c r="G184" s="6" t="str">
        <x:f>IF(OR($E184="",$F184=""),"",$F184/$E184)</x:f>
      </x:c>
      <x:c r="H184" s="3" t="str">
        <x:v>Exames de ultrassonografia veterinaria</x:v>
      </x:c>
      <x:c r="I184" s="3" t="str">
        <x:f>IF($A184="","",$H184&amp;" - "&amp;$E184&amp;" exame(s) realizado(s) em "&amp;TEXT($A184,"dd/mm/yyyy")&amp;". Valor referente ao Pix recebido em "&amp;TEXT($A184,"dd/mm/yyyy")&amp;".")</x:f>
      </x:c>
      <x:c r="J184" s="5" t="str">
        <x:f>IF($A184="","",$A184)</x:f>
      </x:c>
      <x:c r="K184" s="3" t="str"/>
      <x:c r="L184" s="3"/>
      <x:c r="M184" s="3" t="str">
        <x:f>IF($B184="","",IFERROR(VLOOKUP($B184,Clinicas!$A$4:$R$205,16,FALSE),"Confirmar"))</x:f>
      </x:c>
      <x:c r="N184" s="3" t="str">
        <x:f>IF($B184="","",IFERROR(VLOOKUP($B184,Clinicas!$A$4:$R$205,13,FALSE),""))</x:f>
      </x:c>
      <x:c r="O184" s="3"/>
    </x:row>
    <x:row r="185">
      <x:c r="A185" s="5"/>
      <x:c r="B185" s="3" t="str"/>
      <x:c r="C185" s="3" t="str">
        <x:f>IF($B185="","",IFERROR(VLOOKUP($B185,Clinicas!$A$4:$R$205,2,FALSE),"ID nao cadastrado"))</x:f>
      </x:c>
      <x:c r="D185" s="3" t="str">
        <x:f>IF($B185="","",IFERROR(VLOOKUP($B185,Clinicas!$A$4:$R$205,4,FALSE),""))</x:f>
      </x:c>
      <x:c r="E185" s="3" t="str"/>
      <x:c r="F185" s="6" t="str"/>
      <x:c r="G185" s="6" t="str">
        <x:f>IF(OR($E185="",$F185=""),"",$F185/$E185)</x:f>
      </x:c>
      <x:c r="H185" s="3" t="str">
        <x:v>Exames de ultrassonografia veterinaria</x:v>
      </x:c>
      <x:c r="I185" s="3" t="str">
        <x:f>IF($A185="","",$H185&amp;" - "&amp;$E185&amp;" exame(s) realizado(s) em "&amp;TEXT($A185,"dd/mm/yyyy")&amp;". Valor referente ao Pix recebido em "&amp;TEXT($A185,"dd/mm/yyyy")&amp;".")</x:f>
      </x:c>
      <x:c r="J185" s="5" t="str">
        <x:f>IF($A185="","",$A185)</x:f>
      </x:c>
      <x:c r="K185" s="3" t="str"/>
      <x:c r="L185" s="3"/>
      <x:c r="M185" s="3" t="str">
        <x:f>IF($B185="","",IFERROR(VLOOKUP($B185,Clinicas!$A$4:$R$205,16,FALSE),"Confirmar"))</x:f>
      </x:c>
      <x:c r="N185" s="3" t="str">
        <x:f>IF($B185="","",IFERROR(VLOOKUP($B185,Clinicas!$A$4:$R$205,13,FALSE),""))</x:f>
      </x:c>
      <x:c r="O185" s="3"/>
    </x:row>
    <x:row r="186">
      <x:c r="A186" s="5"/>
      <x:c r="B186" s="3" t="str"/>
      <x:c r="C186" s="3" t="str">
        <x:f>IF($B186="","",IFERROR(VLOOKUP($B186,Clinicas!$A$4:$R$205,2,FALSE),"ID nao cadastrado"))</x:f>
      </x:c>
      <x:c r="D186" s="3" t="str">
        <x:f>IF($B186="","",IFERROR(VLOOKUP($B186,Clinicas!$A$4:$R$205,4,FALSE),""))</x:f>
      </x:c>
      <x:c r="E186" s="3" t="str"/>
      <x:c r="F186" s="6" t="str"/>
      <x:c r="G186" s="6" t="str">
        <x:f>IF(OR($E186="",$F186=""),"",$F186/$E186)</x:f>
      </x:c>
      <x:c r="H186" s="3" t="str">
        <x:v>Exames de ultrassonografia veterinaria</x:v>
      </x:c>
      <x:c r="I186" s="3" t="str">
        <x:f>IF($A186="","",$H186&amp;" - "&amp;$E186&amp;" exame(s) realizado(s) em "&amp;TEXT($A186,"dd/mm/yyyy")&amp;". Valor referente ao Pix recebido em "&amp;TEXT($A186,"dd/mm/yyyy")&amp;".")</x:f>
      </x:c>
      <x:c r="J186" s="5" t="str">
        <x:f>IF($A186="","",$A186)</x:f>
      </x:c>
      <x:c r="K186" s="3" t="str"/>
      <x:c r="L186" s="3"/>
      <x:c r="M186" s="3" t="str">
        <x:f>IF($B186="","",IFERROR(VLOOKUP($B186,Clinicas!$A$4:$R$205,16,FALSE),"Confirmar"))</x:f>
      </x:c>
      <x:c r="N186" s="3" t="str">
        <x:f>IF($B186="","",IFERROR(VLOOKUP($B186,Clinicas!$A$4:$R$205,13,FALSE),""))</x:f>
      </x:c>
      <x:c r="O186" s="3"/>
    </x:row>
    <x:row r="187">
      <x:c r="A187" s="5"/>
      <x:c r="B187" s="3" t="str"/>
      <x:c r="C187" s="3" t="str">
        <x:f>IF($B187="","",IFERROR(VLOOKUP($B187,Clinicas!$A$4:$R$205,2,FALSE),"ID nao cadastrado"))</x:f>
      </x:c>
      <x:c r="D187" s="3" t="str">
        <x:f>IF($B187="","",IFERROR(VLOOKUP($B187,Clinicas!$A$4:$R$205,4,FALSE),""))</x:f>
      </x:c>
      <x:c r="E187" s="3" t="str"/>
      <x:c r="F187" s="6" t="str"/>
      <x:c r="G187" s="6" t="str">
        <x:f>IF(OR($E187="",$F187=""),"",$F187/$E187)</x:f>
      </x:c>
      <x:c r="H187" s="3" t="str">
        <x:v>Exames de ultrassonografia veterinaria</x:v>
      </x:c>
      <x:c r="I187" s="3" t="str">
        <x:f>IF($A187="","",$H187&amp;" - "&amp;$E187&amp;" exame(s) realizado(s) em "&amp;TEXT($A187,"dd/mm/yyyy")&amp;". Valor referente ao Pix recebido em "&amp;TEXT($A187,"dd/mm/yyyy")&amp;".")</x:f>
      </x:c>
      <x:c r="J187" s="5" t="str">
        <x:f>IF($A187="","",$A187)</x:f>
      </x:c>
      <x:c r="K187" s="3" t="str"/>
      <x:c r="L187" s="3"/>
      <x:c r="M187" s="3" t="str">
        <x:f>IF($B187="","",IFERROR(VLOOKUP($B187,Clinicas!$A$4:$R$205,16,FALSE),"Confirmar"))</x:f>
      </x:c>
      <x:c r="N187" s="3" t="str">
        <x:f>IF($B187="","",IFERROR(VLOOKUP($B187,Clinicas!$A$4:$R$205,13,FALSE),""))</x:f>
      </x:c>
      <x:c r="O187" s="3"/>
    </x:row>
    <x:row r="188">
      <x:c r="A188" s="5"/>
      <x:c r="B188" s="3" t="str"/>
      <x:c r="C188" s="3" t="str">
        <x:f>IF($B188="","",IFERROR(VLOOKUP($B188,Clinicas!$A$4:$R$205,2,FALSE),"ID nao cadastrado"))</x:f>
      </x:c>
      <x:c r="D188" s="3" t="str">
        <x:f>IF($B188="","",IFERROR(VLOOKUP($B188,Clinicas!$A$4:$R$205,4,FALSE),""))</x:f>
      </x:c>
      <x:c r="E188" s="3" t="str"/>
      <x:c r="F188" s="6" t="str"/>
      <x:c r="G188" s="6" t="str">
        <x:f>IF(OR($E188="",$F188=""),"",$F188/$E188)</x:f>
      </x:c>
      <x:c r="H188" s="3" t="str">
        <x:v>Exames de ultrassonografia veterinaria</x:v>
      </x:c>
      <x:c r="I188" s="3" t="str">
        <x:f>IF($A188="","",$H188&amp;" - "&amp;$E188&amp;" exame(s) realizado(s) em "&amp;TEXT($A188,"dd/mm/yyyy")&amp;". Valor referente ao Pix recebido em "&amp;TEXT($A188,"dd/mm/yyyy")&amp;".")</x:f>
      </x:c>
      <x:c r="J188" s="5" t="str">
        <x:f>IF($A188="","",$A188)</x:f>
      </x:c>
      <x:c r="K188" s="3" t="str"/>
      <x:c r="L188" s="3"/>
      <x:c r="M188" s="3" t="str">
        <x:f>IF($B188="","",IFERROR(VLOOKUP($B188,Clinicas!$A$4:$R$205,16,FALSE),"Confirmar"))</x:f>
      </x:c>
      <x:c r="N188" s="3" t="str">
        <x:f>IF($B188="","",IFERROR(VLOOKUP($B188,Clinicas!$A$4:$R$205,13,FALSE),""))</x:f>
      </x:c>
      <x:c r="O188" s="3"/>
    </x:row>
    <x:row r="189">
      <x:c r="A189" s="5"/>
      <x:c r="B189" s="3" t="str"/>
      <x:c r="C189" s="3" t="str">
        <x:f>IF($B189="","",IFERROR(VLOOKUP($B189,Clinicas!$A$4:$R$205,2,FALSE),"ID nao cadastrado"))</x:f>
      </x:c>
      <x:c r="D189" s="3" t="str">
        <x:f>IF($B189="","",IFERROR(VLOOKUP($B189,Clinicas!$A$4:$R$205,4,FALSE),""))</x:f>
      </x:c>
      <x:c r="E189" s="3" t="str"/>
      <x:c r="F189" s="6" t="str"/>
      <x:c r="G189" s="6" t="str">
        <x:f>IF(OR($E189="",$F189=""),"",$F189/$E189)</x:f>
      </x:c>
      <x:c r="H189" s="3" t="str">
        <x:v>Exames de ultrassonografia veterinaria</x:v>
      </x:c>
      <x:c r="I189" s="3" t="str">
        <x:f>IF($A189="","",$H189&amp;" - "&amp;$E189&amp;" exame(s) realizado(s) em "&amp;TEXT($A189,"dd/mm/yyyy")&amp;". Valor referente ao Pix recebido em "&amp;TEXT($A189,"dd/mm/yyyy")&amp;".")</x:f>
      </x:c>
      <x:c r="J189" s="5" t="str">
        <x:f>IF($A189="","",$A189)</x:f>
      </x:c>
      <x:c r="K189" s="3" t="str"/>
      <x:c r="L189" s="3"/>
      <x:c r="M189" s="3" t="str">
        <x:f>IF($B189="","",IFERROR(VLOOKUP($B189,Clinicas!$A$4:$R$205,16,FALSE),"Confirmar"))</x:f>
      </x:c>
      <x:c r="N189" s="3" t="str">
        <x:f>IF($B189="","",IFERROR(VLOOKUP($B189,Clinicas!$A$4:$R$205,13,FALSE),""))</x:f>
      </x:c>
      <x:c r="O189" s="3"/>
    </x:row>
    <x:row r="190">
      <x:c r="A190" s="5"/>
      <x:c r="B190" s="3" t="str"/>
      <x:c r="C190" s="3" t="str">
        <x:f>IF($B190="","",IFERROR(VLOOKUP($B190,Clinicas!$A$4:$R$205,2,FALSE),"ID nao cadastrado"))</x:f>
      </x:c>
      <x:c r="D190" s="3" t="str">
        <x:f>IF($B190="","",IFERROR(VLOOKUP($B190,Clinicas!$A$4:$R$205,4,FALSE),""))</x:f>
      </x:c>
      <x:c r="E190" s="3" t="str"/>
      <x:c r="F190" s="6" t="str"/>
      <x:c r="G190" s="6" t="str">
        <x:f>IF(OR($E190="",$F190=""),"",$F190/$E190)</x:f>
      </x:c>
      <x:c r="H190" s="3" t="str">
        <x:v>Exames de ultrassonografia veterinaria</x:v>
      </x:c>
      <x:c r="I190" s="3" t="str">
        <x:f>IF($A190="","",$H190&amp;" - "&amp;$E190&amp;" exame(s) realizado(s) em "&amp;TEXT($A190,"dd/mm/yyyy")&amp;". Valor referente ao Pix recebido em "&amp;TEXT($A190,"dd/mm/yyyy")&amp;".")</x:f>
      </x:c>
      <x:c r="J190" s="5" t="str">
        <x:f>IF($A190="","",$A190)</x:f>
      </x:c>
      <x:c r="K190" s="3" t="str"/>
      <x:c r="L190" s="3"/>
      <x:c r="M190" s="3" t="str">
        <x:f>IF($B190="","",IFERROR(VLOOKUP($B190,Clinicas!$A$4:$R$205,16,FALSE),"Confirmar"))</x:f>
      </x:c>
      <x:c r="N190" s="3" t="str">
        <x:f>IF($B190="","",IFERROR(VLOOKUP($B190,Clinicas!$A$4:$R$205,13,FALSE),""))</x:f>
      </x:c>
      <x:c r="O190" s="3"/>
    </x:row>
    <x:row r="191">
      <x:c r="A191" s="5"/>
      <x:c r="B191" s="3" t="str"/>
      <x:c r="C191" s="3" t="str">
        <x:f>IF($B191="","",IFERROR(VLOOKUP($B191,Clinicas!$A$4:$R$205,2,FALSE),"ID nao cadastrado"))</x:f>
      </x:c>
      <x:c r="D191" s="3" t="str">
        <x:f>IF($B191="","",IFERROR(VLOOKUP($B191,Clinicas!$A$4:$R$205,4,FALSE),""))</x:f>
      </x:c>
      <x:c r="E191" s="3" t="str"/>
      <x:c r="F191" s="6" t="str"/>
      <x:c r="G191" s="6" t="str">
        <x:f>IF(OR($E191="",$F191=""),"",$F191/$E191)</x:f>
      </x:c>
      <x:c r="H191" s="3" t="str">
        <x:v>Exames de ultrassonografia veterinaria</x:v>
      </x:c>
      <x:c r="I191" s="3" t="str">
        <x:f>IF($A191="","",$H191&amp;" - "&amp;$E191&amp;" exame(s) realizado(s) em "&amp;TEXT($A191,"dd/mm/yyyy")&amp;". Valor referente ao Pix recebido em "&amp;TEXT($A191,"dd/mm/yyyy")&amp;".")</x:f>
      </x:c>
      <x:c r="J191" s="5" t="str">
        <x:f>IF($A191="","",$A191)</x:f>
      </x:c>
      <x:c r="K191" s="3" t="str"/>
      <x:c r="L191" s="3"/>
      <x:c r="M191" s="3" t="str">
        <x:f>IF($B191="","",IFERROR(VLOOKUP($B191,Clinicas!$A$4:$R$205,16,FALSE),"Confirmar"))</x:f>
      </x:c>
      <x:c r="N191" s="3" t="str">
        <x:f>IF($B191="","",IFERROR(VLOOKUP($B191,Clinicas!$A$4:$R$205,13,FALSE),""))</x:f>
      </x:c>
      <x:c r="O191" s="3"/>
    </x:row>
    <x:row r="192">
      <x:c r="A192" s="5"/>
      <x:c r="B192" s="3" t="str"/>
      <x:c r="C192" s="3" t="str">
        <x:f>IF($B192="","",IFERROR(VLOOKUP($B192,Clinicas!$A$4:$R$205,2,FALSE),"ID nao cadastrado"))</x:f>
      </x:c>
      <x:c r="D192" s="3" t="str">
        <x:f>IF($B192="","",IFERROR(VLOOKUP($B192,Clinicas!$A$4:$R$205,4,FALSE),""))</x:f>
      </x:c>
      <x:c r="E192" s="3" t="str"/>
      <x:c r="F192" s="6" t="str"/>
      <x:c r="G192" s="6" t="str">
        <x:f>IF(OR($E192="",$F192=""),"",$F192/$E192)</x:f>
      </x:c>
      <x:c r="H192" s="3" t="str">
        <x:v>Exames de ultrassonografia veterinaria</x:v>
      </x:c>
      <x:c r="I192" s="3" t="str">
        <x:f>IF($A192="","",$H192&amp;" - "&amp;$E192&amp;" exame(s) realizado(s) em "&amp;TEXT($A192,"dd/mm/yyyy")&amp;". Valor referente ao Pix recebido em "&amp;TEXT($A192,"dd/mm/yyyy")&amp;".")</x:f>
      </x:c>
      <x:c r="J192" s="5" t="str">
        <x:f>IF($A192="","",$A192)</x:f>
      </x:c>
      <x:c r="K192" s="3" t="str"/>
      <x:c r="L192" s="3"/>
      <x:c r="M192" s="3" t="str">
        <x:f>IF($B192="","",IFERROR(VLOOKUP($B192,Clinicas!$A$4:$R$205,16,FALSE),"Confirmar"))</x:f>
      </x:c>
      <x:c r="N192" s="3" t="str">
        <x:f>IF($B192="","",IFERROR(VLOOKUP($B192,Clinicas!$A$4:$R$205,13,FALSE),""))</x:f>
      </x:c>
      <x:c r="O192" s="3"/>
    </x:row>
    <x:row r="193">
      <x:c r="A193" s="5"/>
      <x:c r="B193" s="3" t="str"/>
      <x:c r="C193" s="3" t="str">
        <x:f>IF($B193="","",IFERROR(VLOOKUP($B193,Clinicas!$A$4:$R$205,2,FALSE),"ID nao cadastrado"))</x:f>
      </x:c>
      <x:c r="D193" s="3" t="str">
        <x:f>IF($B193="","",IFERROR(VLOOKUP($B193,Clinicas!$A$4:$R$205,4,FALSE),""))</x:f>
      </x:c>
      <x:c r="E193" s="3" t="str"/>
      <x:c r="F193" s="6" t="str"/>
      <x:c r="G193" s="6" t="str">
        <x:f>IF(OR($E193="",$F193=""),"",$F193/$E193)</x:f>
      </x:c>
      <x:c r="H193" s="3" t="str">
        <x:v>Exames de ultrassonografia veterinaria</x:v>
      </x:c>
      <x:c r="I193" s="3" t="str">
        <x:f>IF($A193="","",$H193&amp;" - "&amp;$E193&amp;" exame(s) realizado(s) em "&amp;TEXT($A193,"dd/mm/yyyy")&amp;". Valor referente ao Pix recebido em "&amp;TEXT($A193,"dd/mm/yyyy")&amp;".")</x:f>
      </x:c>
      <x:c r="J193" s="5" t="str">
        <x:f>IF($A193="","",$A193)</x:f>
      </x:c>
      <x:c r="K193" s="3" t="str"/>
      <x:c r="L193" s="3"/>
      <x:c r="M193" s="3" t="str">
        <x:f>IF($B193="","",IFERROR(VLOOKUP($B193,Clinicas!$A$4:$R$205,16,FALSE),"Confirmar"))</x:f>
      </x:c>
      <x:c r="N193" s="3" t="str">
        <x:f>IF($B193="","",IFERROR(VLOOKUP($B193,Clinicas!$A$4:$R$205,13,FALSE),""))</x:f>
      </x:c>
      <x:c r="O193" s="3"/>
    </x:row>
    <x:row r="194">
      <x:c r="A194" s="5"/>
      <x:c r="B194" s="3" t="str"/>
      <x:c r="C194" s="3" t="str">
        <x:f>IF($B194="","",IFERROR(VLOOKUP($B194,Clinicas!$A$4:$R$205,2,FALSE),"ID nao cadastrado"))</x:f>
      </x:c>
      <x:c r="D194" s="3" t="str">
        <x:f>IF($B194="","",IFERROR(VLOOKUP($B194,Clinicas!$A$4:$R$205,4,FALSE),""))</x:f>
      </x:c>
      <x:c r="E194" s="3" t="str"/>
      <x:c r="F194" s="6" t="str"/>
      <x:c r="G194" s="6" t="str">
        <x:f>IF(OR($E194="",$F194=""),"",$F194/$E194)</x:f>
      </x:c>
      <x:c r="H194" s="3" t="str">
        <x:v>Exames de ultrassonografia veterinaria</x:v>
      </x:c>
      <x:c r="I194" s="3" t="str">
        <x:f>IF($A194="","",$H194&amp;" - "&amp;$E194&amp;" exame(s) realizado(s) em "&amp;TEXT($A194,"dd/mm/yyyy")&amp;". Valor referente ao Pix recebido em "&amp;TEXT($A194,"dd/mm/yyyy")&amp;".")</x:f>
      </x:c>
      <x:c r="J194" s="5" t="str">
        <x:f>IF($A194="","",$A194)</x:f>
      </x:c>
      <x:c r="K194" s="3" t="str"/>
      <x:c r="L194" s="3"/>
      <x:c r="M194" s="3" t="str">
        <x:f>IF($B194="","",IFERROR(VLOOKUP($B194,Clinicas!$A$4:$R$205,16,FALSE),"Confirmar"))</x:f>
      </x:c>
      <x:c r="N194" s="3" t="str">
        <x:f>IF($B194="","",IFERROR(VLOOKUP($B194,Clinicas!$A$4:$R$205,13,FALSE),""))</x:f>
      </x:c>
      <x:c r="O194" s="3"/>
    </x:row>
    <x:row r="195">
      <x:c r="A195" s="5"/>
      <x:c r="B195" s="3" t="str"/>
      <x:c r="C195" s="3" t="str">
        <x:f>IF($B195="","",IFERROR(VLOOKUP($B195,Clinicas!$A$4:$R$205,2,FALSE),"ID nao cadastrado"))</x:f>
      </x:c>
      <x:c r="D195" s="3" t="str">
        <x:f>IF($B195="","",IFERROR(VLOOKUP($B195,Clinicas!$A$4:$R$205,4,FALSE),""))</x:f>
      </x:c>
      <x:c r="E195" s="3" t="str"/>
      <x:c r="F195" s="6" t="str"/>
      <x:c r="G195" s="6" t="str">
        <x:f>IF(OR($E195="",$F195=""),"",$F195/$E195)</x:f>
      </x:c>
      <x:c r="H195" s="3" t="str">
        <x:v>Exames de ultrassonografia veterinaria</x:v>
      </x:c>
      <x:c r="I195" s="3" t="str">
        <x:f>IF($A195="","",$H195&amp;" - "&amp;$E195&amp;" exame(s) realizado(s) em "&amp;TEXT($A195,"dd/mm/yyyy")&amp;". Valor referente ao Pix recebido em "&amp;TEXT($A195,"dd/mm/yyyy")&amp;".")</x:f>
      </x:c>
      <x:c r="J195" s="5" t="str">
        <x:f>IF($A195="","",$A195)</x:f>
      </x:c>
      <x:c r="K195" s="3" t="str"/>
      <x:c r="L195" s="3"/>
      <x:c r="M195" s="3" t="str">
        <x:f>IF($B195="","",IFERROR(VLOOKUP($B195,Clinicas!$A$4:$R$205,16,FALSE),"Confirmar"))</x:f>
      </x:c>
      <x:c r="N195" s="3" t="str">
        <x:f>IF($B195="","",IFERROR(VLOOKUP($B195,Clinicas!$A$4:$R$205,13,FALSE),""))</x:f>
      </x:c>
      <x:c r="O195" s="3"/>
    </x:row>
    <x:row r="196">
      <x:c r="A196" s="5"/>
      <x:c r="B196" s="3" t="str"/>
      <x:c r="C196" s="3" t="str">
        <x:f>IF($B196="","",IFERROR(VLOOKUP($B196,Clinicas!$A$4:$R$205,2,FALSE),"ID nao cadastrado"))</x:f>
      </x:c>
      <x:c r="D196" s="3" t="str">
        <x:f>IF($B196="","",IFERROR(VLOOKUP($B196,Clinicas!$A$4:$R$205,4,FALSE),""))</x:f>
      </x:c>
      <x:c r="E196" s="3" t="str"/>
      <x:c r="F196" s="6" t="str"/>
      <x:c r="G196" s="6" t="str">
        <x:f>IF(OR($E196="",$F196=""),"",$F196/$E196)</x:f>
      </x:c>
      <x:c r="H196" s="3" t="str">
        <x:v>Exames de ultrassonografia veterinaria</x:v>
      </x:c>
      <x:c r="I196" s="3" t="str">
        <x:f>IF($A196="","",$H196&amp;" - "&amp;$E196&amp;" exame(s) realizado(s) em "&amp;TEXT($A196,"dd/mm/yyyy")&amp;". Valor referente ao Pix recebido em "&amp;TEXT($A196,"dd/mm/yyyy")&amp;".")</x:f>
      </x:c>
      <x:c r="J196" s="5" t="str">
        <x:f>IF($A196="","",$A196)</x:f>
      </x:c>
      <x:c r="K196" s="3" t="str"/>
      <x:c r="L196" s="3"/>
      <x:c r="M196" s="3" t="str">
        <x:f>IF($B196="","",IFERROR(VLOOKUP($B196,Clinicas!$A$4:$R$205,16,FALSE),"Confirmar"))</x:f>
      </x:c>
      <x:c r="N196" s="3" t="str">
        <x:f>IF($B196="","",IFERROR(VLOOKUP($B196,Clinicas!$A$4:$R$205,13,FALSE),""))</x:f>
      </x:c>
      <x:c r="O196" s="3"/>
    </x:row>
    <x:row r="197">
      <x:c r="A197" s="5"/>
      <x:c r="B197" s="3" t="str"/>
      <x:c r="C197" s="3" t="str">
        <x:f>IF($B197="","",IFERROR(VLOOKUP($B197,Clinicas!$A$4:$R$205,2,FALSE),"ID nao cadastrado"))</x:f>
      </x:c>
      <x:c r="D197" s="3" t="str">
        <x:f>IF($B197="","",IFERROR(VLOOKUP($B197,Clinicas!$A$4:$R$205,4,FALSE),""))</x:f>
      </x:c>
      <x:c r="E197" s="3" t="str"/>
      <x:c r="F197" s="6" t="str"/>
      <x:c r="G197" s="6" t="str">
        <x:f>IF(OR($E197="",$F197=""),"",$F197/$E197)</x:f>
      </x:c>
      <x:c r="H197" s="3" t="str">
        <x:v>Exames de ultrassonografia veterinaria</x:v>
      </x:c>
      <x:c r="I197" s="3" t="str">
        <x:f>IF($A197="","",$H197&amp;" - "&amp;$E197&amp;" exame(s) realizado(s) em "&amp;TEXT($A197,"dd/mm/yyyy")&amp;". Valor referente ao Pix recebido em "&amp;TEXT($A197,"dd/mm/yyyy")&amp;".")</x:f>
      </x:c>
      <x:c r="J197" s="5" t="str">
        <x:f>IF($A197="","",$A197)</x:f>
      </x:c>
      <x:c r="K197" s="3" t="str"/>
      <x:c r="L197" s="3"/>
      <x:c r="M197" s="3" t="str">
        <x:f>IF($B197="","",IFERROR(VLOOKUP($B197,Clinicas!$A$4:$R$205,16,FALSE),"Confirmar"))</x:f>
      </x:c>
      <x:c r="N197" s="3" t="str">
        <x:f>IF($B197="","",IFERROR(VLOOKUP($B197,Clinicas!$A$4:$R$205,13,FALSE),""))</x:f>
      </x:c>
      <x:c r="O197" s="3"/>
    </x:row>
    <x:row r="198">
      <x:c r="A198" s="5"/>
      <x:c r="B198" s="3" t="str"/>
      <x:c r="C198" s="3" t="str">
        <x:f>IF($B198="","",IFERROR(VLOOKUP($B198,Clinicas!$A$4:$R$205,2,FALSE),"ID nao cadastrado"))</x:f>
      </x:c>
      <x:c r="D198" s="3" t="str">
        <x:f>IF($B198="","",IFERROR(VLOOKUP($B198,Clinicas!$A$4:$R$205,4,FALSE),""))</x:f>
      </x:c>
      <x:c r="E198" s="3" t="str"/>
      <x:c r="F198" s="6" t="str"/>
      <x:c r="G198" s="6" t="str">
        <x:f>IF(OR($E198="",$F198=""),"",$F198/$E198)</x:f>
      </x:c>
      <x:c r="H198" s="3" t="str">
        <x:v>Exames de ultrassonografia veterinaria</x:v>
      </x:c>
      <x:c r="I198" s="3" t="str">
        <x:f>IF($A198="","",$H198&amp;" - "&amp;$E198&amp;" exame(s) realizado(s) em "&amp;TEXT($A198,"dd/mm/yyyy")&amp;". Valor referente ao Pix recebido em "&amp;TEXT($A198,"dd/mm/yyyy")&amp;".")</x:f>
      </x:c>
      <x:c r="J198" s="5" t="str">
        <x:f>IF($A198="","",$A198)</x:f>
      </x:c>
      <x:c r="K198" s="3" t="str"/>
      <x:c r="L198" s="3"/>
      <x:c r="M198" s="3" t="str">
        <x:f>IF($B198="","",IFERROR(VLOOKUP($B198,Clinicas!$A$4:$R$205,16,FALSE),"Confirmar"))</x:f>
      </x:c>
      <x:c r="N198" s="3" t="str">
        <x:f>IF($B198="","",IFERROR(VLOOKUP($B198,Clinicas!$A$4:$R$205,13,FALSE),""))</x:f>
      </x:c>
      <x:c r="O198" s="3"/>
    </x:row>
    <x:row r="199">
      <x:c r="A199" s="5"/>
      <x:c r="B199" s="3" t="str"/>
      <x:c r="C199" s="3" t="str">
        <x:f>IF($B199="","",IFERROR(VLOOKUP($B199,Clinicas!$A$4:$R$205,2,FALSE),"ID nao cadastrado"))</x:f>
      </x:c>
      <x:c r="D199" s="3" t="str">
        <x:f>IF($B199="","",IFERROR(VLOOKUP($B199,Clinicas!$A$4:$R$205,4,FALSE),""))</x:f>
      </x:c>
      <x:c r="E199" s="3" t="str"/>
      <x:c r="F199" s="6" t="str"/>
      <x:c r="G199" s="6" t="str">
        <x:f>IF(OR($E199="",$F199=""),"",$F199/$E199)</x:f>
      </x:c>
      <x:c r="H199" s="3" t="str">
        <x:v>Exames de ultrassonografia veterinaria</x:v>
      </x:c>
      <x:c r="I199" s="3" t="str">
        <x:f>IF($A199="","",$H199&amp;" - "&amp;$E199&amp;" exame(s) realizado(s) em "&amp;TEXT($A199,"dd/mm/yyyy")&amp;". Valor referente ao Pix recebido em "&amp;TEXT($A199,"dd/mm/yyyy")&amp;".")</x:f>
      </x:c>
      <x:c r="J199" s="5" t="str">
        <x:f>IF($A199="","",$A199)</x:f>
      </x:c>
      <x:c r="K199" s="3" t="str"/>
      <x:c r="L199" s="3"/>
      <x:c r="M199" s="3" t="str">
        <x:f>IF($B199="","",IFERROR(VLOOKUP($B199,Clinicas!$A$4:$R$205,16,FALSE),"Confirmar"))</x:f>
      </x:c>
      <x:c r="N199" s="3" t="str">
        <x:f>IF($B199="","",IFERROR(VLOOKUP($B199,Clinicas!$A$4:$R$205,13,FALSE),""))</x:f>
      </x:c>
      <x:c r="O199" s="3"/>
    </x:row>
    <x:row r="200">
      <x:c r="A200" s="5"/>
      <x:c r="B200" s="3" t="str"/>
      <x:c r="C200" s="3" t="str">
        <x:f>IF($B200="","",IFERROR(VLOOKUP($B200,Clinicas!$A$4:$R$205,2,FALSE),"ID nao cadastrado"))</x:f>
      </x:c>
      <x:c r="D200" s="3" t="str">
        <x:f>IF($B200="","",IFERROR(VLOOKUP($B200,Clinicas!$A$4:$R$205,4,FALSE),""))</x:f>
      </x:c>
      <x:c r="E200" s="3" t="str"/>
      <x:c r="F200" s="6" t="str"/>
      <x:c r="G200" s="6" t="str">
        <x:f>IF(OR($E200="",$F200=""),"",$F200/$E200)</x:f>
      </x:c>
      <x:c r="H200" s="3" t="str">
        <x:v>Exames de ultrassonografia veterinaria</x:v>
      </x:c>
      <x:c r="I200" s="3" t="str">
        <x:f>IF($A200="","",$H200&amp;" - "&amp;$E200&amp;" exame(s) realizado(s) em "&amp;TEXT($A200,"dd/mm/yyyy")&amp;". Valor referente ao Pix recebido em "&amp;TEXT($A200,"dd/mm/yyyy")&amp;".")</x:f>
      </x:c>
      <x:c r="J200" s="5" t="str">
        <x:f>IF($A200="","",$A200)</x:f>
      </x:c>
      <x:c r="K200" s="3" t="str"/>
      <x:c r="L200" s="3"/>
      <x:c r="M200" s="3" t="str">
        <x:f>IF($B200="","",IFERROR(VLOOKUP($B200,Clinicas!$A$4:$R$205,16,FALSE),"Confirmar"))</x:f>
      </x:c>
      <x:c r="N200" s="3" t="str">
        <x:f>IF($B200="","",IFERROR(VLOOKUP($B200,Clinicas!$A$4:$R$205,13,FALSE),""))</x:f>
      </x:c>
      <x:c r="O200" s="3"/>
    </x:row>
    <x:row r="201">
      <x:c r="A201" s="5"/>
      <x:c r="B201" s="3" t="str"/>
      <x:c r="C201" s="3" t="str">
        <x:f>IF($B201="","",IFERROR(VLOOKUP($B201,Clinicas!$A$4:$R$205,2,FALSE),"ID nao cadastrado"))</x:f>
      </x:c>
      <x:c r="D201" s="3" t="str">
        <x:f>IF($B201="","",IFERROR(VLOOKUP($B201,Clinicas!$A$4:$R$205,4,FALSE),""))</x:f>
      </x:c>
      <x:c r="E201" s="3" t="str"/>
      <x:c r="F201" s="6" t="str"/>
      <x:c r="G201" s="6" t="str">
        <x:f>IF(OR($E201="",$F201=""),"",$F201/$E201)</x:f>
      </x:c>
      <x:c r="H201" s="3" t="str">
        <x:v>Exames de ultrassonografia veterinaria</x:v>
      </x:c>
      <x:c r="I201" s="3" t="str">
        <x:f>IF($A201="","",$H201&amp;" - "&amp;$E201&amp;" exame(s) realizado(s) em "&amp;TEXT($A201,"dd/mm/yyyy")&amp;". Valor referente ao Pix recebido em "&amp;TEXT($A201,"dd/mm/yyyy")&amp;".")</x:f>
      </x:c>
      <x:c r="J201" s="5" t="str">
        <x:f>IF($A201="","",$A201)</x:f>
      </x:c>
      <x:c r="K201" s="3" t="str"/>
      <x:c r="L201" s="3"/>
      <x:c r="M201" s="3" t="str">
        <x:f>IF($B201="","",IFERROR(VLOOKUP($B201,Clinicas!$A$4:$R$205,16,FALSE),"Confirmar"))</x:f>
      </x:c>
      <x:c r="N201" s="3" t="str">
        <x:f>IF($B201="","",IFERROR(VLOOKUP($B201,Clinicas!$A$4:$R$205,13,FALSE),""))</x:f>
      </x:c>
      <x:c r="O201" s="3"/>
    </x:row>
    <x:row r="202">
      <x:c r="A202" s="5"/>
      <x:c r="B202" s="3" t="str"/>
      <x:c r="C202" s="3" t="str">
        <x:f>IF($B202="","",IFERROR(VLOOKUP($B202,Clinicas!$A$4:$R$205,2,FALSE),"ID nao cadastrado"))</x:f>
      </x:c>
      <x:c r="D202" s="3" t="str">
        <x:f>IF($B202="","",IFERROR(VLOOKUP($B202,Clinicas!$A$4:$R$205,4,FALSE),""))</x:f>
      </x:c>
      <x:c r="E202" s="3" t="str"/>
      <x:c r="F202" s="6" t="str"/>
      <x:c r="G202" s="6" t="str">
        <x:f>IF(OR($E202="",$F202=""),"",$F202/$E202)</x:f>
      </x:c>
      <x:c r="H202" s="3" t="str">
        <x:v>Exames de ultrassonografia veterinaria</x:v>
      </x:c>
      <x:c r="I202" s="3" t="str">
        <x:f>IF($A202="","",$H202&amp;" - "&amp;$E202&amp;" exame(s) realizado(s) em "&amp;TEXT($A202,"dd/mm/yyyy")&amp;". Valor referente ao Pix recebido em "&amp;TEXT($A202,"dd/mm/yyyy")&amp;".")</x:f>
      </x:c>
      <x:c r="J202" s="5" t="str">
        <x:f>IF($A202="","",$A202)</x:f>
      </x:c>
      <x:c r="K202" s="3" t="str"/>
      <x:c r="L202" s="3"/>
      <x:c r="M202" s="3" t="str">
        <x:f>IF($B202="","",IFERROR(VLOOKUP($B202,Clinicas!$A$4:$R$205,16,FALSE),"Confirmar"))</x:f>
      </x:c>
      <x:c r="N202" s="3" t="str">
        <x:f>IF($B202="","",IFERROR(VLOOKUP($B202,Clinicas!$A$4:$R$205,13,FALSE),""))</x:f>
      </x:c>
      <x:c r="O202" s="3"/>
    </x:row>
    <x:row r="203">
      <x:c r="A203" s="5"/>
      <x:c r="B203" s="3" t="str"/>
      <x:c r="C203" s="3" t="str">
        <x:f>IF($B203="","",IFERROR(VLOOKUP($B203,Clinicas!$A$4:$R$205,2,FALSE),"ID nao cadastrado"))</x:f>
      </x:c>
      <x:c r="D203" s="3" t="str">
        <x:f>IF($B203="","",IFERROR(VLOOKUP($B203,Clinicas!$A$4:$R$205,4,FALSE),""))</x:f>
      </x:c>
      <x:c r="E203" s="3" t="str"/>
      <x:c r="F203" s="6" t="str"/>
      <x:c r="G203" s="6" t="str">
        <x:f>IF(OR($E203="",$F203=""),"",$F203/$E203)</x:f>
      </x:c>
      <x:c r="H203" s="3" t="str">
        <x:v>Exames de ultrassonografia veterinaria</x:v>
      </x:c>
      <x:c r="I203" s="3" t="str">
        <x:f>IF($A203="","",$H203&amp;" - "&amp;$E203&amp;" exame(s) realizado(s) em "&amp;TEXT($A203,"dd/mm/yyyy")&amp;". Valor referente ao Pix recebido em "&amp;TEXT($A203,"dd/mm/yyyy")&amp;".")</x:f>
      </x:c>
      <x:c r="J203" s="5" t="str">
        <x:f>IF($A203="","",$A203)</x:f>
      </x:c>
      <x:c r="K203" s="3" t="str"/>
      <x:c r="L203" s="3"/>
      <x:c r="M203" s="3" t="str">
        <x:f>IF($B203="","",IFERROR(VLOOKUP($B203,Clinicas!$A$4:$R$205,16,FALSE),"Confirmar"))</x:f>
      </x:c>
      <x:c r="N203" s="3" t="str">
        <x:f>IF($B203="","",IFERROR(VLOOKUP($B203,Clinicas!$A$4:$R$205,13,FALSE),""))</x:f>
      </x:c>
      <x:c r="O203" s="3"/>
    </x:row>
    <x:row r="204">
      <x:c r="A204" s="5"/>
      <x:c r="B204" s="3" t="str"/>
      <x:c r="C204" s="3" t="str">
        <x:f>IF($B204="","",IFERROR(VLOOKUP($B204,Clinicas!$A$4:$R$205,2,FALSE),"ID nao cadastrado"))</x:f>
      </x:c>
      <x:c r="D204" s="3" t="str">
        <x:f>IF($B204="","",IFERROR(VLOOKUP($B204,Clinicas!$A$4:$R$205,4,FALSE),""))</x:f>
      </x:c>
      <x:c r="E204" s="3" t="str"/>
      <x:c r="F204" s="6" t="str"/>
      <x:c r="G204" s="6" t="str">
        <x:f>IF(OR($E204="",$F204=""),"",$F204/$E204)</x:f>
      </x:c>
      <x:c r="H204" s="3" t="str">
        <x:v>Exames de ultrassonografia veterinaria</x:v>
      </x:c>
      <x:c r="I204" s="3" t="str">
        <x:f>IF($A204="","",$H204&amp;" - "&amp;$E204&amp;" exame(s) realizado(s) em "&amp;TEXT($A204,"dd/mm/yyyy")&amp;". Valor referente ao Pix recebido em "&amp;TEXT($A204,"dd/mm/yyyy")&amp;".")</x:f>
      </x:c>
      <x:c r="J204" s="5" t="str">
        <x:f>IF($A204="","",$A204)</x:f>
      </x:c>
      <x:c r="K204" s="3" t="str"/>
      <x:c r="L204" s="3"/>
      <x:c r="M204" s="3" t="str">
        <x:f>IF($B204="","",IFERROR(VLOOKUP($B204,Clinicas!$A$4:$R$205,16,FALSE),"Confirmar"))</x:f>
      </x:c>
      <x:c r="N204" s="3" t="str">
        <x:f>IF($B204="","",IFERROR(VLOOKUP($B204,Clinicas!$A$4:$R$205,13,FALSE),""))</x:f>
      </x:c>
      <x:c r="O204" s="3"/>
    </x:row>
    <x:row r="205">
      <x:c r="A205" s="5"/>
      <x:c r="B205" s="3" t="str"/>
      <x:c r="C205" s="3" t="str">
        <x:f>IF($B205="","",IFERROR(VLOOKUP($B205,Clinicas!$A$4:$R$205,2,FALSE),"ID nao cadastrado"))</x:f>
      </x:c>
      <x:c r="D205" s="3" t="str">
        <x:f>IF($B205="","",IFERROR(VLOOKUP($B205,Clinicas!$A$4:$R$205,4,FALSE),""))</x:f>
      </x:c>
      <x:c r="E205" s="3" t="str"/>
      <x:c r="F205" s="6" t="str"/>
      <x:c r="G205" s="6" t="str">
        <x:f>IF(OR($E205="",$F205=""),"",$F205/$E205)</x:f>
      </x:c>
      <x:c r="H205" s="3" t="str">
        <x:v>Exames de ultrassonografia veterinaria</x:v>
      </x:c>
      <x:c r="I205" s="3" t="str">
        <x:f>IF($A205="","",$H205&amp;" - "&amp;$E205&amp;" exame(s) realizado(s) em "&amp;TEXT($A205,"dd/mm/yyyy")&amp;". Valor referente ao Pix recebido em "&amp;TEXT($A205,"dd/mm/yyyy")&amp;".")</x:f>
      </x:c>
      <x:c r="J205" s="5" t="str">
        <x:f>IF($A205="","",$A205)</x:f>
      </x:c>
      <x:c r="K205" s="3" t="str"/>
      <x:c r="L205" s="3"/>
      <x:c r="M205" s="3" t="str">
        <x:f>IF($B205="","",IFERROR(VLOOKUP($B205,Clinicas!$A$4:$R$205,16,FALSE),"Confirmar"))</x:f>
      </x:c>
      <x:c r="N205" s="3" t="str">
        <x:f>IF($B205="","",IFERROR(VLOOKUP($B205,Clinicas!$A$4:$R$205,13,FALSE),""))</x:f>
      </x:c>
      <x:c r="O205" s="3"/>
    </x:row>
  </x:sheetData>
  <x:mergeCells>
    <x:mergeCell ref="A1:O1"/>
  </x:mergeCells>
  <x:dataValidations count="3">
    <x:dataValidation type="list" sqref="B4:B205">
      <x:formula1>Clinicas!$A$4:$A$205</x:formula1>
    </x:dataValidation>
    <x:dataValidation type="list" sqref="K4:K205">
      <x:formula1>"Pendente,Emitida,Cancelada,Conferir"</x:formula1>
    </x:dataValidation>
    <x:dataValidation type="list" sqref="M4:M205">
      <x:formula1>"Confirmar,Nao,Sim"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7c47600c9443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3.460000038146973" hidden="0" customWidth="1"/>
    <x:col min="3" max="3" width="13.460000038146973" hidden="0" customWidth="1"/>
    <x:col min="4" max="4" width="10.09000015258789" hidden="0" customWidth="1"/>
    <x:col min="5" max="5" width="31.6299991607666" hidden="0" customWidth="1"/>
    <x:col min="6" max="6" width="18.84000015258789" hidden="0" customWidth="1"/>
    <x:col min="7" max="7" width="11.4399995803833" hidden="0" customWidth="1"/>
    <x:col min="8" max="8" width="13.460000038146973" hidden="0" customWidth="1"/>
    <x:col min="9" max="9" width="12.109999656677246" hidden="0" customWidth="1"/>
    <x:col min="10" max="10" width="12.109999656677246" hidden="0" customWidth="1"/>
    <x:col min="11" max="11" width="34.31999969482422" hidden="0" customWidth="1"/>
  </x:cols>
  <x:sheetData>
    <x:row r="1">
      <x:c r="A1" s="1" t="str">
        <x:v>Notas Emitidas</x:v>
      </x:c>
      <x:c r="B1" s="1" t="str">
        <x:v>Notas Emitidas</x:v>
      </x:c>
      <x:c r="C1" s="1" t="str">
        <x:v>Notas Emitidas</x:v>
      </x:c>
      <x:c r="D1" s="1" t="str">
        <x:v>Notas Emitidas</x:v>
      </x:c>
      <x:c r="E1" s="1" t="str">
        <x:v>Notas Emitidas</x:v>
      </x:c>
      <x:c r="F1" s="1" t="str">
        <x:v>Notas Emitidas</x:v>
      </x:c>
      <x:c r="G1" s="1" t="str">
        <x:v>Notas Emitidas</x:v>
      </x:c>
      <x:c r="H1" s="1" t="str">
        <x:v>Notas Emitidas</x:v>
      </x:c>
      <x:c r="I1" s="1" t="str">
        <x:v>Notas Emitidas</x:v>
      </x:c>
      <x:c r="J1" s="1" t="str">
        <x:v>Notas Emitidas</x:v>
      </x:c>
      <x:c r="K1" s="1" t="str">
        <x:v>Notas Emitidas</x:v>
      </x:c>
    </x:row>
    <x:row r="3">
      <x:c r="A3" s="2" t="str">
        <x:v>Numero NFS-e</x:v>
      </x:c>
      <x:c r="B3" s="2" t="str">
        <x:v>Data emissao</x:v>
      </x:c>
      <x:c r="C3" s="2" t="str">
        <x:v>Competencia</x:v>
      </x:c>
      <x:c r="D3" s="2" t="str">
        <x:v>Clinica ID</x:v>
      </x:c>
      <x:c r="E3" s="2" t="str">
        <x:v>Clinica</x:v>
      </x:c>
      <x:c r="F3" s="2" t="str">
        <x:v>CNPJ</x:v>
      </x:c>
      <x:c r="G3" s="2" t="str">
        <x:v>Qtd exames</x:v>
      </x:c>
      <x:c r="H3" s="2" t="str">
        <x:v>Valor</x:v>
      </x:c>
      <x:c r="I3" s="2" t="str">
        <x:v>ISS retido?</x:v>
      </x:c>
      <x:c r="J3" s="2" t="str">
        <x:v>Status</x:v>
      </x:c>
      <x:c r="K3" s="2" t="str">
        <x:v>Observacoes</x:v>
      </x:c>
    </x:row>
    <x:row r="4">
      <x:c r="A4" s="3" t="str"/>
      <x:c r="B4" s="5"/>
      <x:c r="C4" s="5"/>
      <x:c r="D4" s="3" t="str"/>
      <x:c r="E4" s="3" t="str">
        <x:f>IF($D4="","",IFERROR(VLOOKUP($D4,Clinicas!$A$4:$R$205,2,FALSE),"ID nao cadastrado"))</x:f>
      </x:c>
      <x:c r="F4" s="3" t="str">
        <x:f>IF($D4="","",IFERROR(VLOOKUP($D4,Clinicas!$A$4:$R$205,4,FALSE),""))</x:f>
      </x:c>
      <x:c r="G4" s="3" t="str"/>
      <x:c r="H4" s="6" t="str"/>
      <x:c r="I4" s="3" t="str">
        <x:v>Confirmar</x:v>
      </x:c>
      <x:c r="J4" s="3" t="str"/>
      <x:c r="K4" s="3" t="str"/>
    </x:row>
    <x:row r="5">
      <x:c r="A5" s="3" t="str"/>
      <x:c r="B5" s="5"/>
      <x:c r="C5" s="5"/>
      <x:c r="D5" s="3" t="str"/>
      <x:c r="E5" s="3" t="str">
        <x:f>IF($D5="","",IFERROR(VLOOKUP($D5,Clinicas!$A$4:$R$205,2,FALSE),"ID nao cadastrado"))</x:f>
      </x:c>
      <x:c r="F5" s="3" t="str">
        <x:f>IF($D5="","",IFERROR(VLOOKUP($D5,Clinicas!$A$4:$R$205,4,FALSE),""))</x:f>
      </x:c>
      <x:c r="G5" s="3" t="str"/>
      <x:c r="H5" s="6" t="str"/>
      <x:c r="I5" s="3" t="str">
        <x:v>Confirmar</x:v>
      </x:c>
      <x:c r="J5" s="3" t="str"/>
      <x:c r="K5" s="3" t="str"/>
    </x:row>
    <x:row r="6">
      <x:c r="A6" s="3" t="str"/>
      <x:c r="B6" s="5"/>
      <x:c r="C6" s="5"/>
      <x:c r="D6" s="3" t="str"/>
      <x:c r="E6" s="3" t="str">
        <x:f>IF($D6="","",IFERROR(VLOOKUP($D6,Clinicas!$A$4:$R$205,2,FALSE),"ID nao cadastrado"))</x:f>
      </x:c>
      <x:c r="F6" s="3" t="str">
        <x:f>IF($D6="","",IFERROR(VLOOKUP($D6,Clinicas!$A$4:$R$205,4,FALSE),""))</x:f>
      </x:c>
      <x:c r="G6" s="3" t="str"/>
      <x:c r="H6" s="6" t="str"/>
      <x:c r="I6" s="3" t="str">
        <x:v>Confirmar</x:v>
      </x:c>
      <x:c r="J6" s="3" t="str"/>
      <x:c r="K6" s="3" t="str"/>
    </x:row>
    <x:row r="7">
      <x:c r="A7" s="3" t="str"/>
      <x:c r="B7" s="5"/>
      <x:c r="C7" s="5"/>
      <x:c r="D7" s="3" t="str"/>
      <x:c r="E7" s="3" t="str">
        <x:f>IF($D7="","",IFERROR(VLOOKUP($D7,Clinicas!$A$4:$R$205,2,FALSE),"ID nao cadastrado"))</x:f>
      </x:c>
      <x:c r="F7" s="3" t="str">
        <x:f>IF($D7="","",IFERROR(VLOOKUP($D7,Clinicas!$A$4:$R$205,4,FALSE),""))</x:f>
      </x:c>
      <x:c r="G7" s="3" t="str"/>
      <x:c r="H7" s="6" t="str"/>
      <x:c r="I7" s="3" t="str">
        <x:v>Confirmar</x:v>
      </x:c>
      <x:c r="J7" s="3" t="str"/>
      <x:c r="K7" s="3" t="str"/>
    </x:row>
    <x:row r="8">
      <x:c r="A8" s="3" t="str"/>
      <x:c r="B8" s="5"/>
      <x:c r="C8" s="5"/>
      <x:c r="D8" s="3" t="str"/>
      <x:c r="E8" s="3" t="str">
        <x:f>IF($D8="","",IFERROR(VLOOKUP($D8,Clinicas!$A$4:$R$205,2,FALSE),"ID nao cadastrado"))</x:f>
      </x:c>
      <x:c r="F8" s="3" t="str">
        <x:f>IF($D8="","",IFERROR(VLOOKUP($D8,Clinicas!$A$4:$R$205,4,FALSE),""))</x:f>
      </x:c>
      <x:c r="G8" s="3" t="str"/>
      <x:c r="H8" s="6" t="str"/>
      <x:c r="I8" s="3" t="str">
        <x:v>Confirmar</x:v>
      </x:c>
      <x:c r="J8" s="3" t="str"/>
      <x:c r="K8" s="3" t="str"/>
    </x:row>
    <x:row r="9">
      <x:c r="A9" s="3" t="str"/>
      <x:c r="B9" s="5"/>
      <x:c r="C9" s="5"/>
      <x:c r="D9" s="3" t="str"/>
      <x:c r="E9" s="3" t="str">
        <x:f>IF($D9="","",IFERROR(VLOOKUP($D9,Clinicas!$A$4:$R$205,2,FALSE),"ID nao cadastrado"))</x:f>
      </x:c>
      <x:c r="F9" s="3" t="str">
        <x:f>IF($D9="","",IFERROR(VLOOKUP($D9,Clinicas!$A$4:$R$205,4,FALSE),""))</x:f>
      </x:c>
      <x:c r="G9" s="3" t="str"/>
      <x:c r="H9" s="6" t="str"/>
      <x:c r="I9" s="3" t="str">
        <x:v>Confirmar</x:v>
      </x:c>
      <x:c r="J9" s="3" t="str"/>
      <x:c r="K9" s="3" t="str"/>
    </x:row>
    <x:row r="10">
      <x:c r="A10" s="3" t="str"/>
      <x:c r="B10" s="5"/>
      <x:c r="C10" s="5"/>
      <x:c r="D10" s="3" t="str"/>
      <x:c r="E10" s="3" t="str">
        <x:f>IF($D10="","",IFERROR(VLOOKUP($D10,Clinicas!$A$4:$R$205,2,FALSE),"ID nao cadastrado"))</x:f>
      </x:c>
      <x:c r="F10" s="3" t="str">
        <x:f>IF($D10="","",IFERROR(VLOOKUP($D10,Clinicas!$A$4:$R$205,4,FALSE),""))</x:f>
      </x:c>
      <x:c r="G10" s="3" t="str"/>
      <x:c r="H10" s="6" t="str"/>
      <x:c r="I10" s="3" t="str">
        <x:v>Confirmar</x:v>
      </x:c>
      <x:c r="J10" s="3" t="str"/>
      <x:c r="K10" s="3" t="str"/>
    </x:row>
    <x:row r="11">
      <x:c r="A11" s="3" t="str"/>
      <x:c r="B11" s="5"/>
      <x:c r="C11" s="5"/>
      <x:c r="D11" s="3" t="str"/>
      <x:c r="E11" s="3" t="str">
        <x:f>IF($D11="","",IFERROR(VLOOKUP($D11,Clinicas!$A$4:$R$205,2,FALSE),"ID nao cadastrado"))</x:f>
      </x:c>
      <x:c r="F11" s="3" t="str">
        <x:f>IF($D11="","",IFERROR(VLOOKUP($D11,Clinicas!$A$4:$R$205,4,FALSE),""))</x:f>
      </x:c>
      <x:c r="G11" s="3" t="str"/>
      <x:c r="H11" s="6" t="str"/>
      <x:c r="I11" s="3" t="str">
        <x:v>Confirmar</x:v>
      </x:c>
      <x:c r="J11" s="3" t="str"/>
      <x:c r="K11" s="3" t="str"/>
    </x:row>
    <x:row r="12">
      <x:c r="A12" s="3" t="str"/>
      <x:c r="B12" s="5"/>
      <x:c r="C12" s="5"/>
      <x:c r="D12" s="3" t="str"/>
      <x:c r="E12" s="3" t="str">
        <x:f>IF($D12="","",IFERROR(VLOOKUP($D12,Clinicas!$A$4:$R$205,2,FALSE),"ID nao cadastrado"))</x:f>
      </x:c>
      <x:c r="F12" s="3" t="str">
        <x:f>IF($D12="","",IFERROR(VLOOKUP($D12,Clinicas!$A$4:$R$205,4,FALSE),""))</x:f>
      </x:c>
      <x:c r="G12" s="3" t="str"/>
      <x:c r="H12" s="6" t="str"/>
      <x:c r="I12" s="3" t="str">
        <x:v>Confirmar</x:v>
      </x:c>
      <x:c r="J12" s="3" t="str"/>
      <x:c r="K12" s="3" t="str"/>
    </x:row>
    <x:row r="13">
      <x:c r="A13" s="3" t="str"/>
      <x:c r="B13" s="5"/>
      <x:c r="C13" s="5"/>
      <x:c r="D13" s="3" t="str"/>
      <x:c r="E13" s="3" t="str">
        <x:f>IF($D13="","",IFERROR(VLOOKUP($D13,Clinicas!$A$4:$R$205,2,FALSE),"ID nao cadastrado"))</x:f>
      </x:c>
      <x:c r="F13" s="3" t="str">
        <x:f>IF($D13="","",IFERROR(VLOOKUP($D13,Clinicas!$A$4:$R$205,4,FALSE),""))</x:f>
      </x:c>
      <x:c r="G13" s="3" t="str"/>
      <x:c r="H13" s="6" t="str"/>
      <x:c r="I13" s="3" t="str">
        <x:v>Confirmar</x:v>
      </x:c>
      <x:c r="J13" s="3" t="str"/>
      <x:c r="K13" s="3" t="str"/>
    </x:row>
    <x:row r="14">
      <x:c r="A14" s="3" t="str"/>
      <x:c r="B14" s="5"/>
      <x:c r="C14" s="5"/>
      <x:c r="D14" s="3" t="str"/>
      <x:c r="E14" s="3" t="str">
        <x:f>IF($D14="","",IFERROR(VLOOKUP($D14,Clinicas!$A$4:$R$205,2,FALSE),"ID nao cadastrado"))</x:f>
      </x:c>
      <x:c r="F14" s="3" t="str">
        <x:f>IF($D14="","",IFERROR(VLOOKUP($D14,Clinicas!$A$4:$R$205,4,FALSE),""))</x:f>
      </x:c>
      <x:c r="G14" s="3" t="str"/>
      <x:c r="H14" s="6" t="str"/>
      <x:c r="I14" s="3" t="str">
        <x:v>Confirmar</x:v>
      </x:c>
      <x:c r="J14" s="3" t="str"/>
      <x:c r="K14" s="3" t="str"/>
    </x:row>
    <x:row r="15">
      <x:c r="A15" s="3" t="str"/>
      <x:c r="B15" s="5"/>
      <x:c r="C15" s="5"/>
      <x:c r="D15" s="3" t="str"/>
      <x:c r="E15" s="3" t="str">
        <x:f>IF($D15="","",IFERROR(VLOOKUP($D15,Clinicas!$A$4:$R$205,2,FALSE),"ID nao cadastrado"))</x:f>
      </x:c>
      <x:c r="F15" s="3" t="str">
        <x:f>IF($D15="","",IFERROR(VLOOKUP($D15,Clinicas!$A$4:$R$205,4,FALSE),""))</x:f>
      </x:c>
      <x:c r="G15" s="3" t="str"/>
      <x:c r="H15" s="6" t="str"/>
      <x:c r="I15" s="3" t="str">
        <x:v>Confirmar</x:v>
      </x:c>
      <x:c r="J15" s="3" t="str"/>
      <x:c r="K15" s="3" t="str"/>
    </x:row>
    <x:row r="16">
      <x:c r="A16" s="3" t="str"/>
      <x:c r="B16" s="5"/>
      <x:c r="C16" s="5"/>
      <x:c r="D16" s="3" t="str"/>
      <x:c r="E16" s="3" t="str">
        <x:f>IF($D16="","",IFERROR(VLOOKUP($D16,Clinicas!$A$4:$R$205,2,FALSE),"ID nao cadastrado"))</x:f>
      </x:c>
      <x:c r="F16" s="3" t="str">
        <x:f>IF($D16="","",IFERROR(VLOOKUP($D16,Clinicas!$A$4:$R$205,4,FALSE),""))</x:f>
      </x:c>
      <x:c r="G16" s="3" t="str"/>
      <x:c r="H16" s="6" t="str"/>
      <x:c r="I16" s="3" t="str">
        <x:v>Confirmar</x:v>
      </x:c>
      <x:c r="J16" s="3" t="str"/>
      <x:c r="K16" s="3" t="str"/>
    </x:row>
    <x:row r="17">
      <x:c r="A17" s="3" t="str"/>
      <x:c r="B17" s="5"/>
      <x:c r="C17" s="5"/>
      <x:c r="D17" s="3" t="str"/>
      <x:c r="E17" s="3" t="str">
        <x:f>IF($D17="","",IFERROR(VLOOKUP($D17,Clinicas!$A$4:$R$205,2,FALSE),"ID nao cadastrado"))</x:f>
      </x:c>
      <x:c r="F17" s="3" t="str">
        <x:f>IF($D17="","",IFERROR(VLOOKUP($D17,Clinicas!$A$4:$R$205,4,FALSE),""))</x:f>
      </x:c>
      <x:c r="G17" s="3" t="str"/>
      <x:c r="H17" s="6" t="str"/>
      <x:c r="I17" s="3" t="str">
        <x:v>Confirmar</x:v>
      </x:c>
      <x:c r="J17" s="3" t="str"/>
      <x:c r="K17" s="3" t="str"/>
    </x:row>
    <x:row r="18">
      <x:c r="A18" s="3" t="str"/>
      <x:c r="B18" s="5"/>
      <x:c r="C18" s="5"/>
      <x:c r="D18" s="3" t="str"/>
      <x:c r="E18" s="3" t="str">
        <x:f>IF($D18="","",IFERROR(VLOOKUP($D18,Clinicas!$A$4:$R$205,2,FALSE),"ID nao cadastrado"))</x:f>
      </x:c>
      <x:c r="F18" s="3" t="str">
        <x:f>IF($D18="","",IFERROR(VLOOKUP($D18,Clinicas!$A$4:$R$205,4,FALSE),""))</x:f>
      </x:c>
      <x:c r="G18" s="3" t="str"/>
      <x:c r="H18" s="6" t="str"/>
      <x:c r="I18" s="3" t="str">
        <x:v>Confirmar</x:v>
      </x:c>
      <x:c r="J18" s="3" t="str"/>
      <x:c r="K18" s="3" t="str"/>
    </x:row>
    <x:row r="19">
      <x:c r="A19" s="3" t="str"/>
      <x:c r="B19" s="5"/>
      <x:c r="C19" s="5"/>
      <x:c r="D19" s="3" t="str"/>
      <x:c r="E19" s="3" t="str">
        <x:f>IF($D19="","",IFERROR(VLOOKUP($D19,Clinicas!$A$4:$R$205,2,FALSE),"ID nao cadastrado"))</x:f>
      </x:c>
      <x:c r="F19" s="3" t="str">
        <x:f>IF($D19="","",IFERROR(VLOOKUP($D19,Clinicas!$A$4:$R$205,4,FALSE),""))</x:f>
      </x:c>
      <x:c r="G19" s="3" t="str"/>
      <x:c r="H19" s="6" t="str"/>
      <x:c r="I19" s="3" t="str">
        <x:v>Confirmar</x:v>
      </x:c>
      <x:c r="J19" s="3" t="str"/>
      <x:c r="K19" s="3" t="str"/>
    </x:row>
    <x:row r="20">
      <x:c r="A20" s="3" t="str"/>
      <x:c r="B20" s="5"/>
      <x:c r="C20" s="5"/>
      <x:c r="D20" s="3" t="str"/>
      <x:c r="E20" s="3" t="str">
        <x:f>IF($D20="","",IFERROR(VLOOKUP($D20,Clinicas!$A$4:$R$205,2,FALSE),"ID nao cadastrado"))</x:f>
      </x:c>
      <x:c r="F20" s="3" t="str">
        <x:f>IF($D20="","",IFERROR(VLOOKUP($D20,Clinicas!$A$4:$R$205,4,FALSE),""))</x:f>
      </x:c>
      <x:c r="G20" s="3" t="str"/>
      <x:c r="H20" s="6" t="str"/>
      <x:c r="I20" s="3" t="str">
        <x:v>Confirmar</x:v>
      </x:c>
      <x:c r="J20" s="3" t="str"/>
      <x:c r="K20" s="3" t="str"/>
    </x:row>
    <x:row r="21">
      <x:c r="A21" s="3" t="str"/>
      <x:c r="B21" s="5"/>
      <x:c r="C21" s="5"/>
      <x:c r="D21" s="3" t="str"/>
      <x:c r="E21" s="3" t="str">
        <x:f>IF($D21="","",IFERROR(VLOOKUP($D21,Clinicas!$A$4:$R$205,2,FALSE),"ID nao cadastrado"))</x:f>
      </x:c>
      <x:c r="F21" s="3" t="str">
        <x:f>IF($D21="","",IFERROR(VLOOKUP($D21,Clinicas!$A$4:$R$205,4,FALSE),""))</x:f>
      </x:c>
      <x:c r="G21" s="3" t="str"/>
      <x:c r="H21" s="6" t="str"/>
      <x:c r="I21" s="3" t="str">
        <x:v>Confirmar</x:v>
      </x:c>
      <x:c r="J21" s="3" t="str"/>
      <x:c r="K21" s="3" t="str"/>
    </x:row>
    <x:row r="22">
      <x:c r="A22" s="3" t="str"/>
      <x:c r="B22" s="5"/>
      <x:c r="C22" s="5"/>
      <x:c r="D22" s="3" t="str"/>
      <x:c r="E22" s="3" t="str">
        <x:f>IF($D22="","",IFERROR(VLOOKUP($D22,Clinicas!$A$4:$R$205,2,FALSE),"ID nao cadastrado"))</x:f>
      </x:c>
      <x:c r="F22" s="3" t="str">
        <x:f>IF($D22="","",IFERROR(VLOOKUP($D22,Clinicas!$A$4:$R$205,4,FALSE),""))</x:f>
      </x:c>
      <x:c r="G22" s="3" t="str"/>
      <x:c r="H22" s="6" t="str"/>
      <x:c r="I22" s="3" t="str">
        <x:v>Confirmar</x:v>
      </x:c>
      <x:c r="J22" s="3" t="str"/>
      <x:c r="K22" s="3" t="str"/>
    </x:row>
    <x:row r="23">
      <x:c r="A23" s="3" t="str"/>
      <x:c r="B23" s="5"/>
      <x:c r="C23" s="5"/>
      <x:c r="D23" s="3" t="str"/>
      <x:c r="E23" s="3" t="str">
        <x:f>IF($D23="","",IFERROR(VLOOKUP($D23,Clinicas!$A$4:$R$205,2,FALSE),"ID nao cadastrado"))</x:f>
      </x:c>
      <x:c r="F23" s="3" t="str">
        <x:f>IF($D23="","",IFERROR(VLOOKUP($D23,Clinicas!$A$4:$R$205,4,FALSE),""))</x:f>
      </x:c>
      <x:c r="G23" s="3" t="str"/>
      <x:c r="H23" s="6" t="str"/>
      <x:c r="I23" s="3" t="str">
        <x:v>Confirmar</x:v>
      </x:c>
      <x:c r="J23" s="3" t="str"/>
      <x:c r="K23" s="3" t="str"/>
    </x:row>
    <x:row r="24">
      <x:c r="A24" s="3" t="str"/>
      <x:c r="B24" s="5"/>
      <x:c r="C24" s="5"/>
      <x:c r="D24" s="3" t="str"/>
      <x:c r="E24" s="3" t="str">
        <x:f>IF($D24="","",IFERROR(VLOOKUP($D24,Clinicas!$A$4:$R$205,2,FALSE),"ID nao cadastrado"))</x:f>
      </x:c>
      <x:c r="F24" s="3" t="str">
        <x:f>IF($D24="","",IFERROR(VLOOKUP($D24,Clinicas!$A$4:$R$205,4,FALSE),""))</x:f>
      </x:c>
      <x:c r="G24" s="3" t="str"/>
      <x:c r="H24" s="6" t="str"/>
      <x:c r="I24" s="3" t="str">
        <x:v>Confirmar</x:v>
      </x:c>
      <x:c r="J24" s="3" t="str"/>
      <x:c r="K24" s="3" t="str"/>
    </x:row>
    <x:row r="25">
      <x:c r="A25" s="3" t="str"/>
      <x:c r="B25" s="5"/>
      <x:c r="C25" s="5"/>
      <x:c r="D25" s="3" t="str"/>
      <x:c r="E25" s="3" t="str">
        <x:f>IF($D25="","",IFERROR(VLOOKUP($D25,Clinicas!$A$4:$R$205,2,FALSE),"ID nao cadastrado"))</x:f>
      </x:c>
      <x:c r="F25" s="3" t="str">
        <x:f>IF($D25="","",IFERROR(VLOOKUP($D25,Clinicas!$A$4:$R$205,4,FALSE),""))</x:f>
      </x:c>
      <x:c r="G25" s="3" t="str"/>
      <x:c r="H25" s="6" t="str"/>
      <x:c r="I25" s="3" t="str">
        <x:v>Confirmar</x:v>
      </x:c>
      <x:c r="J25" s="3" t="str"/>
      <x:c r="K25" s="3" t="str"/>
    </x:row>
    <x:row r="26">
      <x:c r="A26" s="3" t="str"/>
      <x:c r="B26" s="5"/>
      <x:c r="C26" s="5"/>
      <x:c r="D26" s="3" t="str"/>
      <x:c r="E26" s="3" t="str">
        <x:f>IF($D26="","",IFERROR(VLOOKUP($D26,Clinicas!$A$4:$R$205,2,FALSE),"ID nao cadastrado"))</x:f>
      </x:c>
      <x:c r="F26" s="3" t="str">
        <x:f>IF($D26="","",IFERROR(VLOOKUP($D26,Clinicas!$A$4:$R$205,4,FALSE),""))</x:f>
      </x:c>
      <x:c r="G26" s="3" t="str"/>
      <x:c r="H26" s="6" t="str"/>
      <x:c r="I26" s="3" t="str">
        <x:v>Confirmar</x:v>
      </x:c>
      <x:c r="J26" s="3" t="str"/>
      <x:c r="K26" s="3" t="str"/>
    </x:row>
    <x:row r="27">
      <x:c r="A27" s="3" t="str"/>
      <x:c r="B27" s="5"/>
      <x:c r="C27" s="5"/>
      <x:c r="D27" s="3" t="str"/>
      <x:c r="E27" s="3" t="str">
        <x:f>IF($D27="","",IFERROR(VLOOKUP($D27,Clinicas!$A$4:$R$205,2,FALSE),"ID nao cadastrado"))</x:f>
      </x:c>
      <x:c r="F27" s="3" t="str">
        <x:f>IF($D27="","",IFERROR(VLOOKUP($D27,Clinicas!$A$4:$R$205,4,FALSE),""))</x:f>
      </x:c>
      <x:c r="G27" s="3" t="str"/>
      <x:c r="H27" s="6" t="str"/>
      <x:c r="I27" s="3" t="str">
        <x:v>Confirmar</x:v>
      </x:c>
      <x:c r="J27" s="3" t="str"/>
      <x:c r="K27" s="3" t="str"/>
    </x:row>
    <x:row r="28">
      <x:c r="A28" s="3" t="str"/>
      <x:c r="B28" s="5"/>
      <x:c r="C28" s="5"/>
      <x:c r="D28" s="3" t="str"/>
      <x:c r="E28" s="3" t="str">
        <x:f>IF($D28="","",IFERROR(VLOOKUP($D28,Clinicas!$A$4:$R$205,2,FALSE),"ID nao cadastrado"))</x:f>
      </x:c>
      <x:c r="F28" s="3" t="str">
        <x:f>IF($D28="","",IFERROR(VLOOKUP($D28,Clinicas!$A$4:$R$205,4,FALSE),""))</x:f>
      </x:c>
      <x:c r="G28" s="3" t="str"/>
      <x:c r="H28" s="6" t="str"/>
      <x:c r="I28" s="3" t="str">
        <x:v>Confirmar</x:v>
      </x:c>
      <x:c r="J28" s="3" t="str"/>
      <x:c r="K28" s="3" t="str"/>
    </x:row>
    <x:row r="29">
      <x:c r="A29" s="3" t="str"/>
      <x:c r="B29" s="5"/>
      <x:c r="C29" s="5"/>
      <x:c r="D29" s="3" t="str"/>
      <x:c r="E29" s="3" t="str">
        <x:f>IF($D29="","",IFERROR(VLOOKUP($D29,Clinicas!$A$4:$R$205,2,FALSE),"ID nao cadastrado"))</x:f>
      </x:c>
      <x:c r="F29" s="3" t="str">
        <x:f>IF($D29="","",IFERROR(VLOOKUP($D29,Clinicas!$A$4:$R$205,4,FALSE),""))</x:f>
      </x:c>
      <x:c r="G29" s="3" t="str"/>
      <x:c r="H29" s="6" t="str"/>
      <x:c r="I29" s="3" t="str">
        <x:v>Confirmar</x:v>
      </x:c>
      <x:c r="J29" s="3" t="str"/>
      <x:c r="K29" s="3" t="str"/>
    </x:row>
    <x:row r="30">
      <x:c r="A30" s="3" t="str"/>
      <x:c r="B30" s="5"/>
      <x:c r="C30" s="5"/>
      <x:c r="D30" s="3" t="str"/>
      <x:c r="E30" s="3" t="str">
        <x:f>IF($D30="","",IFERROR(VLOOKUP($D30,Clinicas!$A$4:$R$205,2,FALSE),"ID nao cadastrado"))</x:f>
      </x:c>
      <x:c r="F30" s="3" t="str">
        <x:f>IF($D30="","",IFERROR(VLOOKUP($D30,Clinicas!$A$4:$R$205,4,FALSE),""))</x:f>
      </x:c>
      <x:c r="G30" s="3" t="str"/>
      <x:c r="H30" s="6" t="str"/>
      <x:c r="I30" s="3" t="str">
        <x:v>Confirmar</x:v>
      </x:c>
      <x:c r="J30" s="3" t="str"/>
      <x:c r="K30" s="3" t="str"/>
    </x:row>
    <x:row r="31">
      <x:c r="A31" s="3" t="str"/>
      <x:c r="B31" s="5"/>
      <x:c r="C31" s="5"/>
      <x:c r="D31" s="3" t="str"/>
      <x:c r="E31" s="3" t="str">
        <x:f>IF($D31="","",IFERROR(VLOOKUP($D31,Clinicas!$A$4:$R$205,2,FALSE),"ID nao cadastrado"))</x:f>
      </x:c>
      <x:c r="F31" s="3" t="str">
        <x:f>IF($D31="","",IFERROR(VLOOKUP($D31,Clinicas!$A$4:$R$205,4,FALSE),""))</x:f>
      </x:c>
      <x:c r="G31" s="3" t="str"/>
      <x:c r="H31" s="6" t="str"/>
      <x:c r="I31" s="3" t="str">
        <x:v>Confirmar</x:v>
      </x:c>
      <x:c r="J31" s="3" t="str"/>
      <x:c r="K31" s="3" t="str"/>
    </x:row>
    <x:row r="32">
      <x:c r="A32" s="3" t="str"/>
      <x:c r="B32" s="5"/>
      <x:c r="C32" s="5"/>
      <x:c r="D32" s="3" t="str"/>
      <x:c r="E32" s="3" t="str">
        <x:f>IF($D32="","",IFERROR(VLOOKUP($D32,Clinicas!$A$4:$R$205,2,FALSE),"ID nao cadastrado"))</x:f>
      </x:c>
      <x:c r="F32" s="3" t="str">
        <x:f>IF($D32="","",IFERROR(VLOOKUP($D32,Clinicas!$A$4:$R$205,4,FALSE),""))</x:f>
      </x:c>
      <x:c r="G32" s="3" t="str"/>
      <x:c r="H32" s="6" t="str"/>
      <x:c r="I32" s="3" t="str">
        <x:v>Confirmar</x:v>
      </x:c>
      <x:c r="J32" s="3" t="str"/>
      <x:c r="K32" s="3" t="str"/>
    </x:row>
    <x:row r="33">
      <x:c r="A33" s="3" t="str"/>
      <x:c r="B33" s="5"/>
      <x:c r="C33" s="5"/>
      <x:c r="D33" s="3" t="str"/>
      <x:c r="E33" s="3" t="str">
        <x:f>IF($D33="","",IFERROR(VLOOKUP($D33,Clinicas!$A$4:$R$205,2,FALSE),"ID nao cadastrado"))</x:f>
      </x:c>
      <x:c r="F33" s="3" t="str">
        <x:f>IF($D33="","",IFERROR(VLOOKUP($D33,Clinicas!$A$4:$R$205,4,FALSE),""))</x:f>
      </x:c>
      <x:c r="G33" s="3" t="str"/>
      <x:c r="H33" s="6" t="str"/>
      <x:c r="I33" s="3" t="str">
        <x:v>Confirmar</x:v>
      </x:c>
      <x:c r="J33" s="3" t="str"/>
      <x:c r="K33" s="3" t="str"/>
    </x:row>
    <x:row r="34">
      <x:c r="A34" s="3" t="str"/>
      <x:c r="B34" s="5"/>
      <x:c r="C34" s="5"/>
      <x:c r="D34" s="3" t="str"/>
      <x:c r="E34" s="3" t="str">
        <x:f>IF($D34="","",IFERROR(VLOOKUP($D34,Clinicas!$A$4:$R$205,2,FALSE),"ID nao cadastrado"))</x:f>
      </x:c>
      <x:c r="F34" s="3" t="str">
        <x:f>IF($D34="","",IFERROR(VLOOKUP($D34,Clinicas!$A$4:$R$205,4,FALSE),""))</x:f>
      </x:c>
      <x:c r="G34" s="3" t="str"/>
      <x:c r="H34" s="6" t="str"/>
      <x:c r="I34" s="3" t="str">
        <x:v>Confirmar</x:v>
      </x:c>
      <x:c r="J34" s="3" t="str"/>
      <x:c r="K34" s="3" t="str"/>
    </x:row>
    <x:row r="35">
      <x:c r="A35" s="3" t="str"/>
      <x:c r="B35" s="5"/>
      <x:c r="C35" s="5"/>
      <x:c r="D35" s="3" t="str"/>
      <x:c r="E35" s="3" t="str">
        <x:f>IF($D35="","",IFERROR(VLOOKUP($D35,Clinicas!$A$4:$R$205,2,FALSE),"ID nao cadastrado"))</x:f>
      </x:c>
      <x:c r="F35" s="3" t="str">
        <x:f>IF($D35="","",IFERROR(VLOOKUP($D35,Clinicas!$A$4:$R$205,4,FALSE),""))</x:f>
      </x:c>
      <x:c r="G35" s="3" t="str"/>
      <x:c r="H35" s="6" t="str"/>
      <x:c r="I35" s="3" t="str">
        <x:v>Confirmar</x:v>
      </x:c>
      <x:c r="J35" s="3" t="str"/>
      <x:c r="K35" s="3" t="str"/>
    </x:row>
    <x:row r="36">
      <x:c r="A36" s="3" t="str"/>
      <x:c r="B36" s="5"/>
      <x:c r="C36" s="5"/>
      <x:c r="D36" s="3" t="str"/>
      <x:c r="E36" s="3" t="str">
        <x:f>IF($D36="","",IFERROR(VLOOKUP($D36,Clinicas!$A$4:$R$205,2,FALSE),"ID nao cadastrado"))</x:f>
      </x:c>
      <x:c r="F36" s="3" t="str">
        <x:f>IF($D36="","",IFERROR(VLOOKUP($D36,Clinicas!$A$4:$R$205,4,FALSE),""))</x:f>
      </x:c>
      <x:c r="G36" s="3" t="str"/>
      <x:c r="H36" s="6" t="str"/>
      <x:c r="I36" s="3" t="str">
        <x:v>Confirmar</x:v>
      </x:c>
      <x:c r="J36" s="3" t="str"/>
      <x:c r="K36" s="3" t="str"/>
    </x:row>
    <x:row r="37">
      <x:c r="A37" s="3" t="str"/>
      <x:c r="B37" s="5"/>
      <x:c r="C37" s="5"/>
      <x:c r="D37" s="3" t="str"/>
      <x:c r="E37" s="3" t="str">
        <x:f>IF($D37="","",IFERROR(VLOOKUP($D37,Clinicas!$A$4:$R$205,2,FALSE),"ID nao cadastrado"))</x:f>
      </x:c>
      <x:c r="F37" s="3" t="str">
        <x:f>IF($D37="","",IFERROR(VLOOKUP($D37,Clinicas!$A$4:$R$205,4,FALSE),""))</x:f>
      </x:c>
      <x:c r="G37" s="3" t="str"/>
      <x:c r="H37" s="6" t="str"/>
      <x:c r="I37" s="3" t="str">
        <x:v>Confirmar</x:v>
      </x:c>
      <x:c r="J37" s="3" t="str"/>
      <x:c r="K37" s="3" t="str"/>
    </x:row>
    <x:row r="38">
      <x:c r="A38" s="3" t="str"/>
      <x:c r="B38" s="5"/>
      <x:c r="C38" s="5"/>
      <x:c r="D38" s="3" t="str"/>
      <x:c r="E38" s="3" t="str">
        <x:f>IF($D38="","",IFERROR(VLOOKUP($D38,Clinicas!$A$4:$R$205,2,FALSE),"ID nao cadastrado"))</x:f>
      </x:c>
      <x:c r="F38" s="3" t="str">
        <x:f>IF($D38="","",IFERROR(VLOOKUP($D38,Clinicas!$A$4:$R$205,4,FALSE),""))</x:f>
      </x:c>
      <x:c r="G38" s="3" t="str"/>
      <x:c r="H38" s="6" t="str"/>
      <x:c r="I38" s="3" t="str">
        <x:v>Confirmar</x:v>
      </x:c>
      <x:c r="J38" s="3" t="str"/>
      <x:c r="K38" s="3" t="str"/>
    </x:row>
    <x:row r="39">
      <x:c r="A39" s="3" t="str"/>
      <x:c r="B39" s="5"/>
      <x:c r="C39" s="5"/>
      <x:c r="D39" s="3" t="str"/>
      <x:c r="E39" s="3" t="str">
        <x:f>IF($D39="","",IFERROR(VLOOKUP($D39,Clinicas!$A$4:$R$205,2,FALSE),"ID nao cadastrado"))</x:f>
      </x:c>
      <x:c r="F39" s="3" t="str">
        <x:f>IF($D39="","",IFERROR(VLOOKUP($D39,Clinicas!$A$4:$R$205,4,FALSE),""))</x:f>
      </x:c>
      <x:c r="G39" s="3" t="str"/>
      <x:c r="H39" s="6" t="str"/>
      <x:c r="I39" s="3" t="str">
        <x:v>Confirmar</x:v>
      </x:c>
      <x:c r="J39" s="3" t="str"/>
      <x:c r="K39" s="3" t="str"/>
    </x:row>
    <x:row r="40">
      <x:c r="A40" s="3" t="str"/>
      <x:c r="B40" s="5"/>
      <x:c r="C40" s="5"/>
      <x:c r="D40" s="3" t="str"/>
      <x:c r="E40" s="3" t="str">
        <x:f>IF($D40="","",IFERROR(VLOOKUP($D40,Clinicas!$A$4:$R$205,2,FALSE),"ID nao cadastrado"))</x:f>
      </x:c>
      <x:c r="F40" s="3" t="str">
        <x:f>IF($D40="","",IFERROR(VLOOKUP($D40,Clinicas!$A$4:$R$205,4,FALSE),""))</x:f>
      </x:c>
      <x:c r="G40" s="3" t="str"/>
      <x:c r="H40" s="6" t="str"/>
      <x:c r="I40" s="3" t="str">
        <x:v>Confirmar</x:v>
      </x:c>
      <x:c r="J40" s="3" t="str"/>
      <x:c r="K40" s="3" t="str"/>
    </x:row>
    <x:row r="41">
      <x:c r="A41" s="3" t="str"/>
      <x:c r="B41" s="5"/>
      <x:c r="C41" s="5"/>
      <x:c r="D41" s="3" t="str"/>
      <x:c r="E41" s="3" t="str">
        <x:f>IF($D41="","",IFERROR(VLOOKUP($D41,Clinicas!$A$4:$R$205,2,FALSE),"ID nao cadastrado"))</x:f>
      </x:c>
      <x:c r="F41" s="3" t="str">
        <x:f>IF($D41="","",IFERROR(VLOOKUP($D41,Clinicas!$A$4:$R$205,4,FALSE),""))</x:f>
      </x:c>
      <x:c r="G41" s="3" t="str"/>
      <x:c r="H41" s="6" t="str"/>
      <x:c r="I41" s="3" t="str">
        <x:v>Confirmar</x:v>
      </x:c>
      <x:c r="J41" s="3" t="str"/>
      <x:c r="K41" s="3" t="str"/>
    </x:row>
    <x:row r="42">
      <x:c r="A42" s="3" t="str"/>
      <x:c r="B42" s="5"/>
      <x:c r="C42" s="5"/>
      <x:c r="D42" s="3" t="str"/>
      <x:c r="E42" s="3" t="str">
        <x:f>IF($D42="","",IFERROR(VLOOKUP($D42,Clinicas!$A$4:$R$205,2,FALSE),"ID nao cadastrado"))</x:f>
      </x:c>
      <x:c r="F42" s="3" t="str">
        <x:f>IF($D42="","",IFERROR(VLOOKUP($D42,Clinicas!$A$4:$R$205,4,FALSE),""))</x:f>
      </x:c>
      <x:c r="G42" s="3" t="str"/>
      <x:c r="H42" s="6" t="str"/>
      <x:c r="I42" s="3" t="str">
        <x:v>Confirmar</x:v>
      </x:c>
      <x:c r="J42" s="3" t="str"/>
      <x:c r="K42" s="3" t="str"/>
    </x:row>
    <x:row r="43">
      <x:c r="A43" s="3" t="str"/>
      <x:c r="B43" s="5"/>
      <x:c r="C43" s="5"/>
      <x:c r="D43" s="3" t="str"/>
      <x:c r="E43" s="3" t="str">
        <x:f>IF($D43="","",IFERROR(VLOOKUP($D43,Clinicas!$A$4:$R$205,2,FALSE),"ID nao cadastrado"))</x:f>
      </x:c>
      <x:c r="F43" s="3" t="str">
        <x:f>IF($D43="","",IFERROR(VLOOKUP($D43,Clinicas!$A$4:$R$205,4,FALSE),""))</x:f>
      </x:c>
      <x:c r="G43" s="3" t="str"/>
      <x:c r="H43" s="6" t="str"/>
      <x:c r="I43" s="3" t="str">
        <x:v>Confirmar</x:v>
      </x:c>
      <x:c r="J43" s="3" t="str"/>
      <x:c r="K43" s="3" t="str"/>
    </x:row>
    <x:row r="44">
      <x:c r="A44" s="3" t="str"/>
      <x:c r="B44" s="5"/>
      <x:c r="C44" s="5"/>
      <x:c r="D44" s="3" t="str"/>
      <x:c r="E44" s="3" t="str">
        <x:f>IF($D44="","",IFERROR(VLOOKUP($D44,Clinicas!$A$4:$R$205,2,FALSE),"ID nao cadastrado"))</x:f>
      </x:c>
      <x:c r="F44" s="3" t="str">
        <x:f>IF($D44="","",IFERROR(VLOOKUP($D44,Clinicas!$A$4:$R$205,4,FALSE),""))</x:f>
      </x:c>
      <x:c r="G44" s="3" t="str"/>
      <x:c r="H44" s="6" t="str"/>
      <x:c r="I44" s="3" t="str">
        <x:v>Confirmar</x:v>
      </x:c>
      <x:c r="J44" s="3" t="str"/>
      <x:c r="K44" s="3" t="str"/>
    </x:row>
    <x:row r="45">
      <x:c r="A45" s="3" t="str"/>
      <x:c r="B45" s="5"/>
      <x:c r="C45" s="5"/>
      <x:c r="D45" s="3" t="str"/>
      <x:c r="E45" s="3" t="str">
        <x:f>IF($D45="","",IFERROR(VLOOKUP($D45,Clinicas!$A$4:$R$205,2,FALSE),"ID nao cadastrado"))</x:f>
      </x:c>
      <x:c r="F45" s="3" t="str">
        <x:f>IF($D45="","",IFERROR(VLOOKUP($D45,Clinicas!$A$4:$R$205,4,FALSE),""))</x:f>
      </x:c>
      <x:c r="G45" s="3" t="str"/>
      <x:c r="H45" s="6" t="str"/>
      <x:c r="I45" s="3" t="str">
        <x:v>Confirmar</x:v>
      </x:c>
      <x:c r="J45" s="3" t="str"/>
      <x:c r="K45" s="3" t="str"/>
    </x:row>
    <x:row r="46">
      <x:c r="A46" s="3" t="str"/>
      <x:c r="B46" s="5"/>
      <x:c r="C46" s="5"/>
      <x:c r="D46" s="3" t="str"/>
      <x:c r="E46" s="3" t="str">
        <x:f>IF($D46="","",IFERROR(VLOOKUP($D46,Clinicas!$A$4:$R$205,2,FALSE),"ID nao cadastrado"))</x:f>
      </x:c>
      <x:c r="F46" s="3" t="str">
        <x:f>IF($D46="","",IFERROR(VLOOKUP($D46,Clinicas!$A$4:$R$205,4,FALSE),""))</x:f>
      </x:c>
      <x:c r="G46" s="3" t="str"/>
      <x:c r="H46" s="6" t="str"/>
      <x:c r="I46" s="3" t="str">
        <x:v>Confirmar</x:v>
      </x:c>
      <x:c r="J46" s="3" t="str"/>
      <x:c r="K46" s="3" t="str"/>
    </x:row>
    <x:row r="47">
      <x:c r="A47" s="3" t="str"/>
      <x:c r="B47" s="5"/>
      <x:c r="C47" s="5"/>
      <x:c r="D47" s="3" t="str"/>
      <x:c r="E47" s="3" t="str">
        <x:f>IF($D47="","",IFERROR(VLOOKUP($D47,Clinicas!$A$4:$R$205,2,FALSE),"ID nao cadastrado"))</x:f>
      </x:c>
      <x:c r="F47" s="3" t="str">
        <x:f>IF($D47="","",IFERROR(VLOOKUP($D47,Clinicas!$A$4:$R$205,4,FALSE),""))</x:f>
      </x:c>
      <x:c r="G47" s="3" t="str"/>
      <x:c r="H47" s="6" t="str"/>
      <x:c r="I47" s="3" t="str">
        <x:v>Confirmar</x:v>
      </x:c>
      <x:c r="J47" s="3" t="str"/>
      <x:c r="K47" s="3" t="str"/>
    </x:row>
    <x:row r="48">
      <x:c r="A48" s="3" t="str"/>
      <x:c r="B48" s="5"/>
      <x:c r="C48" s="5"/>
      <x:c r="D48" s="3" t="str"/>
      <x:c r="E48" s="3" t="str">
        <x:f>IF($D48="","",IFERROR(VLOOKUP($D48,Clinicas!$A$4:$R$205,2,FALSE),"ID nao cadastrado"))</x:f>
      </x:c>
      <x:c r="F48" s="3" t="str">
        <x:f>IF($D48="","",IFERROR(VLOOKUP($D48,Clinicas!$A$4:$R$205,4,FALSE),""))</x:f>
      </x:c>
      <x:c r="G48" s="3" t="str"/>
      <x:c r="H48" s="6" t="str"/>
      <x:c r="I48" s="3" t="str">
        <x:v>Confirmar</x:v>
      </x:c>
      <x:c r="J48" s="3" t="str"/>
      <x:c r="K48" s="3" t="str"/>
    </x:row>
    <x:row r="49">
      <x:c r="A49" s="3" t="str"/>
      <x:c r="B49" s="5"/>
      <x:c r="C49" s="5"/>
      <x:c r="D49" s="3" t="str"/>
      <x:c r="E49" s="3" t="str">
        <x:f>IF($D49="","",IFERROR(VLOOKUP($D49,Clinicas!$A$4:$R$205,2,FALSE),"ID nao cadastrado"))</x:f>
      </x:c>
      <x:c r="F49" s="3" t="str">
        <x:f>IF($D49="","",IFERROR(VLOOKUP($D49,Clinicas!$A$4:$R$205,4,FALSE),""))</x:f>
      </x:c>
      <x:c r="G49" s="3" t="str"/>
      <x:c r="H49" s="6" t="str"/>
      <x:c r="I49" s="3" t="str">
        <x:v>Confirmar</x:v>
      </x:c>
      <x:c r="J49" s="3" t="str"/>
      <x:c r="K49" s="3" t="str"/>
    </x:row>
    <x:row r="50">
      <x:c r="A50" s="3" t="str"/>
      <x:c r="B50" s="5"/>
      <x:c r="C50" s="5"/>
      <x:c r="D50" s="3" t="str"/>
      <x:c r="E50" s="3" t="str">
        <x:f>IF($D50="","",IFERROR(VLOOKUP($D50,Clinicas!$A$4:$R$205,2,FALSE),"ID nao cadastrado"))</x:f>
      </x:c>
      <x:c r="F50" s="3" t="str">
        <x:f>IF($D50="","",IFERROR(VLOOKUP($D50,Clinicas!$A$4:$R$205,4,FALSE),""))</x:f>
      </x:c>
      <x:c r="G50" s="3" t="str"/>
      <x:c r="H50" s="6" t="str"/>
      <x:c r="I50" s="3" t="str">
        <x:v>Confirmar</x:v>
      </x:c>
      <x:c r="J50" s="3" t="str"/>
      <x:c r="K50" s="3" t="str"/>
    </x:row>
    <x:row r="51">
      <x:c r="A51" s="3" t="str"/>
      <x:c r="B51" s="5"/>
      <x:c r="C51" s="5"/>
      <x:c r="D51" s="3" t="str"/>
      <x:c r="E51" s="3" t="str">
        <x:f>IF($D51="","",IFERROR(VLOOKUP($D51,Clinicas!$A$4:$R$205,2,FALSE),"ID nao cadastrado"))</x:f>
      </x:c>
      <x:c r="F51" s="3" t="str">
        <x:f>IF($D51="","",IFERROR(VLOOKUP($D51,Clinicas!$A$4:$R$205,4,FALSE),""))</x:f>
      </x:c>
      <x:c r="G51" s="3" t="str"/>
      <x:c r="H51" s="6" t="str"/>
      <x:c r="I51" s="3" t="str">
        <x:v>Confirmar</x:v>
      </x:c>
      <x:c r="J51" s="3" t="str"/>
      <x:c r="K51" s="3" t="str"/>
    </x:row>
    <x:row r="52">
      <x:c r="A52" s="3" t="str"/>
      <x:c r="B52" s="5"/>
      <x:c r="C52" s="5"/>
      <x:c r="D52" s="3" t="str"/>
      <x:c r="E52" s="3" t="str">
        <x:f>IF($D52="","",IFERROR(VLOOKUP($D52,Clinicas!$A$4:$R$205,2,FALSE),"ID nao cadastrado"))</x:f>
      </x:c>
      <x:c r="F52" s="3" t="str">
        <x:f>IF($D52="","",IFERROR(VLOOKUP($D52,Clinicas!$A$4:$R$205,4,FALSE),""))</x:f>
      </x:c>
      <x:c r="G52" s="3" t="str"/>
      <x:c r="H52" s="6" t="str"/>
      <x:c r="I52" s="3" t="str">
        <x:v>Confirmar</x:v>
      </x:c>
      <x:c r="J52" s="3" t="str"/>
      <x:c r="K52" s="3" t="str"/>
    </x:row>
    <x:row r="53">
      <x:c r="A53" s="3" t="str"/>
      <x:c r="B53" s="5"/>
      <x:c r="C53" s="5"/>
      <x:c r="D53" s="3" t="str"/>
      <x:c r="E53" s="3" t="str">
        <x:f>IF($D53="","",IFERROR(VLOOKUP($D53,Clinicas!$A$4:$R$205,2,FALSE),"ID nao cadastrado"))</x:f>
      </x:c>
      <x:c r="F53" s="3" t="str">
        <x:f>IF($D53="","",IFERROR(VLOOKUP($D53,Clinicas!$A$4:$R$205,4,FALSE),""))</x:f>
      </x:c>
      <x:c r="G53" s="3" t="str"/>
      <x:c r="H53" s="6" t="str"/>
      <x:c r="I53" s="3" t="str">
        <x:v>Confirmar</x:v>
      </x:c>
      <x:c r="J53" s="3" t="str"/>
      <x:c r="K53" s="3" t="str"/>
    </x:row>
    <x:row r="54">
      <x:c r="A54" s="3" t="str"/>
      <x:c r="B54" s="5"/>
      <x:c r="C54" s="5"/>
      <x:c r="D54" s="3" t="str"/>
      <x:c r="E54" s="3" t="str">
        <x:f>IF($D54="","",IFERROR(VLOOKUP($D54,Clinicas!$A$4:$R$205,2,FALSE),"ID nao cadastrado"))</x:f>
      </x:c>
      <x:c r="F54" s="3" t="str">
        <x:f>IF($D54="","",IFERROR(VLOOKUP($D54,Clinicas!$A$4:$R$205,4,FALSE),""))</x:f>
      </x:c>
      <x:c r="G54" s="3" t="str"/>
      <x:c r="H54" s="6" t="str"/>
      <x:c r="I54" s="3" t="str">
        <x:v>Confirmar</x:v>
      </x:c>
      <x:c r="J54" s="3" t="str"/>
      <x:c r="K54" s="3" t="str"/>
    </x:row>
    <x:row r="55">
      <x:c r="A55" s="3" t="str"/>
      <x:c r="B55" s="5"/>
      <x:c r="C55" s="5"/>
      <x:c r="D55" s="3" t="str"/>
      <x:c r="E55" s="3" t="str">
        <x:f>IF($D55="","",IFERROR(VLOOKUP($D55,Clinicas!$A$4:$R$205,2,FALSE),"ID nao cadastrado"))</x:f>
      </x:c>
      <x:c r="F55" s="3" t="str">
        <x:f>IF($D55="","",IFERROR(VLOOKUP($D55,Clinicas!$A$4:$R$205,4,FALSE),""))</x:f>
      </x:c>
      <x:c r="G55" s="3" t="str"/>
      <x:c r="H55" s="6" t="str"/>
      <x:c r="I55" s="3" t="str">
        <x:v>Confirmar</x:v>
      </x:c>
      <x:c r="J55" s="3" t="str"/>
      <x:c r="K55" s="3" t="str"/>
    </x:row>
    <x:row r="56">
      <x:c r="A56" s="3" t="str"/>
      <x:c r="B56" s="5"/>
      <x:c r="C56" s="5"/>
      <x:c r="D56" s="3" t="str"/>
      <x:c r="E56" s="3" t="str">
        <x:f>IF($D56="","",IFERROR(VLOOKUP($D56,Clinicas!$A$4:$R$205,2,FALSE),"ID nao cadastrado"))</x:f>
      </x:c>
      <x:c r="F56" s="3" t="str">
        <x:f>IF($D56="","",IFERROR(VLOOKUP($D56,Clinicas!$A$4:$R$205,4,FALSE),""))</x:f>
      </x:c>
      <x:c r="G56" s="3" t="str"/>
      <x:c r="H56" s="6" t="str"/>
      <x:c r="I56" s="3" t="str">
        <x:v>Confirmar</x:v>
      </x:c>
      <x:c r="J56" s="3" t="str"/>
      <x:c r="K56" s="3" t="str"/>
    </x:row>
    <x:row r="57">
      <x:c r="A57" s="3" t="str"/>
      <x:c r="B57" s="5"/>
      <x:c r="C57" s="5"/>
      <x:c r="D57" s="3" t="str"/>
      <x:c r="E57" s="3" t="str">
        <x:f>IF($D57="","",IFERROR(VLOOKUP($D57,Clinicas!$A$4:$R$205,2,FALSE),"ID nao cadastrado"))</x:f>
      </x:c>
      <x:c r="F57" s="3" t="str">
        <x:f>IF($D57="","",IFERROR(VLOOKUP($D57,Clinicas!$A$4:$R$205,4,FALSE),""))</x:f>
      </x:c>
      <x:c r="G57" s="3" t="str"/>
      <x:c r="H57" s="6" t="str"/>
      <x:c r="I57" s="3" t="str">
        <x:v>Confirmar</x:v>
      </x:c>
      <x:c r="J57" s="3" t="str"/>
      <x:c r="K57" s="3" t="str"/>
    </x:row>
    <x:row r="58">
      <x:c r="A58" s="3" t="str"/>
      <x:c r="B58" s="5"/>
      <x:c r="C58" s="5"/>
      <x:c r="D58" s="3" t="str"/>
      <x:c r="E58" s="3" t="str">
        <x:f>IF($D58="","",IFERROR(VLOOKUP($D58,Clinicas!$A$4:$R$205,2,FALSE),"ID nao cadastrado"))</x:f>
      </x:c>
      <x:c r="F58" s="3" t="str">
        <x:f>IF($D58="","",IFERROR(VLOOKUP($D58,Clinicas!$A$4:$R$205,4,FALSE),""))</x:f>
      </x:c>
      <x:c r="G58" s="3" t="str"/>
      <x:c r="H58" s="6" t="str"/>
      <x:c r="I58" s="3" t="str">
        <x:v>Confirmar</x:v>
      </x:c>
      <x:c r="J58" s="3" t="str"/>
      <x:c r="K58" s="3" t="str"/>
    </x:row>
    <x:row r="59">
      <x:c r="A59" s="3" t="str"/>
      <x:c r="B59" s="5"/>
      <x:c r="C59" s="5"/>
      <x:c r="D59" s="3" t="str"/>
      <x:c r="E59" s="3" t="str">
        <x:f>IF($D59="","",IFERROR(VLOOKUP($D59,Clinicas!$A$4:$R$205,2,FALSE),"ID nao cadastrado"))</x:f>
      </x:c>
      <x:c r="F59" s="3" t="str">
        <x:f>IF($D59="","",IFERROR(VLOOKUP($D59,Clinicas!$A$4:$R$205,4,FALSE),""))</x:f>
      </x:c>
      <x:c r="G59" s="3" t="str"/>
      <x:c r="H59" s="6" t="str"/>
      <x:c r="I59" s="3" t="str">
        <x:v>Confirmar</x:v>
      </x:c>
      <x:c r="J59" s="3" t="str"/>
      <x:c r="K59" s="3" t="str"/>
    </x:row>
    <x:row r="60">
      <x:c r="A60" s="3" t="str"/>
      <x:c r="B60" s="5"/>
      <x:c r="C60" s="5"/>
      <x:c r="D60" s="3" t="str"/>
      <x:c r="E60" s="3" t="str">
        <x:f>IF($D60="","",IFERROR(VLOOKUP($D60,Clinicas!$A$4:$R$205,2,FALSE),"ID nao cadastrado"))</x:f>
      </x:c>
      <x:c r="F60" s="3" t="str">
        <x:f>IF($D60="","",IFERROR(VLOOKUP($D60,Clinicas!$A$4:$R$205,4,FALSE),""))</x:f>
      </x:c>
      <x:c r="G60" s="3" t="str"/>
      <x:c r="H60" s="6" t="str"/>
      <x:c r="I60" s="3" t="str">
        <x:v>Confirmar</x:v>
      </x:c>
      <x:c r="J60" s="3" t="str"/>
      <x:c r="K60" s="3" t="str"/>
    </x:row>
    <x:row r="61">
      <x:c r="A61" s="3" t="str"/>
      <x:c r="B61" s="5"/>
      <x:c r="C61" s="5"/>
      <x:c r="D61" s="3" t="str"/>
      <x:c r="E61" s="3" t="str">
        <x:f>IF($D61="","",IFERROR(VLOOKUP($D61,Clinicas!$A$4:$R$205,2,FALSE),"ID nao cadastrado"))</x:f>
      </x:c>
      <x:c r="F61" s="3" t="str">
        <x:f>IF($D61="","",IFERROR(VLOOKUP($D61,Clinicas!$A$4:$R$205,4,FALSE),""))</x:f>
      </x:c>
      <x:c r="G61" s="3" t="str"/>
      <x:c r="H61" s="6" t="str"/>
      <x:c r="I61" s="3" t="str">
        <x:v>Confirmar</x:v>
      </x:c>
      <x:c r="J61" s="3" t="str"/>
      <x:c r="K61" s="3" t="str"/>
    </x:row>
    <x:row r="62">
      <x:c r="A62" s="3" t="str"/>
      <x:c r="B62" s="5"/>
      <x:c r="C62" s="5"/>
      <x:c r="D62" s="3" t="str"/>
      <x:c r="E62" s="3" t="str">
        <x:f>IF($D62="","",IFERROR(VLOOKUP($D62,Clinicas!$A$4:$R$205,2,FALSE),"ID nao cadastrado"))</x:f>
      </x:c>
      <x:c r="F62" s="3" t="str">
        <x:f>IF($D62="","",IFERROR(VLOOKUP($D62,Clinicas!$A$4:$R$205,4,FALSE),""))</x:f>
      </x:c>
      <x:c r="G62" s="3" t="str"/>
      <x:c r="H62" s="6" t="str"/>
      <x:c r="I62" s="3" t="str">
        <x:v>Confirmar</x:v>
      </x:c>
      <x:c r="J62" s="3" t="str"/>
      <x:c r="K62" s="3" t="str"/>
    </x:row>
    <x:row r="63">
      <x:c r="A63" s="3" t="str"/>
      <x:c r="B63" s="5"/>
      <x:c r="C63" s="5"/>
      <x:c r="D63" s="3" t="str"/>
      <x:c r="E63" s="3" t="str">
        <x:f>IF($D63="","",IFERROR(VLOOKUP($D63,Clinicas!$A$4:$R$205,2,FALSE),"ID nao cadastrado"))</x:f>
      </x:c>
      <x:c r="F63" s="3" t="str">
        <x:f>IF($D63="","",IFERROR(VLOOKUP($D63,Clinicas!$A$4:$R$205,4,FALSE),""))</x:f>
      </x:c>
      <x:c r="G63" s="3" t="str"/>
      <x:c r="H63" s="6" t="str"/>
      <x:c r="I63" s="3" t="str">
        <x:v>Confirmar</x:v>
      </x:c>
      <x:c r="J63" s="3" t="str"/>
      <x:c r="K63" s="3" t="str"/>
    </x:row>
    <x:row r="64">
      <x:c r="A64" s="3" t="str"/>
      <x:c r="B64" s="5"/>
      <x:c r="C64" s="5"/>
      <x:c r="D64" s="3" t="str"/>
      <x:c r="E64" s="3" t="str">
        <x:f>IF($D64="","",IFERROR(VLOOKUP($D64,Clinicas!$A$4:$R$205,2,FALSE),"ID nao cadastrado"))</x:f>
      </x:c>
      <x:c r="F64" s="3" t="str">
        <x:f>IF($D64="","",IFERROR(VLOOKUP($D64,Clinicas!$A$4:$R$205,4,FALSE),""))</x:f>
      </x:c>
      <x:c r="G64" s="3" t="str"/>
      <x:c r="H64" s="6" t="str"/>
      <x:c r="I64" s="3" t="str">
        <x:v>Confirmar</x:v>
      </x:c>
      <x:c r="J64" s="3" t="str"/>
      <x:c r="K64" s="3" t="str"/>
    </x:row>
    <x:row r="65">
      <x:c r="A65" s="3" t="str"/>
      <x:c r="B65" s="5"/>
      <x:c r="C65" s="5"/>
      <x:c r="D65" s="3" t="str"/>
      <x:c r="E65" s="3" t="str">
        <x:f>IF($D65="","",IFERROR(VLOOKUP($D65,Clinicas!$A$4:$R$205,2,FALSE),"ID nao cadastrado"))</x:f>
      </x:c>
      <x:c r="F65" s="3" t="str">
        <x:f>IF($D65="","",IFERROR(VLOOKUP($D65,Clinicas!$A$4:$R$205,4,FALSE),""))</x:f>
      </x:c>
      <x:c r="G65" s="3" t="str"/>
      <x:c r="H65" s="6" t="str"/>
      <x:c r="I65" s="3" t="str">
        <x:v>Confirmar</x:v>
      </x:c>
      <x:c r="J65" s="3" t="str"/>
      <x:c r="K65" s="3" t="str"/>
    </x:row>
    <x:row r="66">
      <x:c r="A66" s="3" t="str"/>
      <x:c r="B66" s="5"/>
      <x:c r="C66" s="5"/>
      <x:c r="D66" s="3" t="str"/>
      <x:c r="E66" s="3" t="str">
        <x:f>IF($D66="","",IFERROR(VLOOKUP($D66,Clinicas!$A$4:$R$205,2,FALSE),"ID nao cadastrado"))</x:f>
      </x:c>
      <x:c r="F66" s="3" t="str">
        <x:f>IF($D66="","",IFERROR(VLOOKUP($D66,Clinicas!$A$4:$R$205,4,FALSE),""))</x:f>
      </x:c>
      <x:c r="G66" s="3" t="str"/>
      <x:c r="H66" s="6" t="str"/>
      <x:c r="I66" s="3" t="str">
        <x:v>Confirmar</x:v>
      </x:c>
      <x:c r="J66" s="3" t="str"/>
      <x:c r="K66" s="3" t="str"/>
    </x:row>
    <x:row r="67">
      <x:c r="A67" s="3" t="str"/>
      <x:c r="B67" s="5"/>
      <x:c r="C67" s="5"/>
      <x:c r="D67" s="3" t="str"/>
      <x:c r="E67" s="3" t="str">
        <x:f>IF($D67="","",IFERROR(VLOOKUP($D67,Clinicas!$A$4:$R$205,2,FALSE),"ID nao cadastrado"))</x:f>
      </x:c>
      <x:c r="F67" s="3" t="str">
        <x:f>IF($D67="","",IFERROR(VLOOKUP($D67,Clinicas!$A$4:$R$205,4,FALSE),""))</x:f>
      </x:c>
      <x:c r="G67" s="3" t="str"/>
      <x:c r="H67" s="6" t="str"/>
      <x:c r="I67" s="3" t="str">
        <x:v>Confirmar</x:v>
      </x:c>
      <x:c r="J67" s="3" t="str"/>
      <x:c r="K67" s="3" t="str"/>
    </x:row>
    <x:row r="68">
      <x:c r="A68" s="3" t="str"/>
      <x:c r="B68" s="5"/>
      <x:c r="C68" s="5"/>
      <x:c r="D68" s="3" t="str"/>
      <x:c r="E68" s="3" t="str">
        <x:f>IF($D68="","",IFERROR(VLOOKUP($D68,Clinicas!$A$4:$R$205,2,FALSE),"ID nao cadastrado"))</x:f>
      </x:c>
      <x:c r="F68" s="3" t="str">
        <x:f>IF($D68="","",IFERROR(VLOOKUP($D68,Clinicas!$A$4:$R$205,4,FALSE),""))</x:f>
      </x:c>
      <x:c r="G68" s="3" t="str"/>
      <x:c r="H68" s="6" t="str"/>
      <x:c r="I68" s="3" t="str">
        <x:v>Confirmar</x:v>
      </x:c>
      <x:c r="J68" s="3" t="str"/>
      <x:c r="K68" s="3" t="str"/>
    </x:row>
    <x:row r="69">
      <x:c r="A69" s="3" t="str"/>
      <x:c r="B69" s="5"/>
      <x:c r="C69" s="5"/>
      <x:c r="D69" s="3" t="str"/>
      <x:c r="E69" s="3" t="str">
        <x:f>IF($D69="","",IFERROR(VLOOKUP($D69,Clinicas!$A$4:$R$205,2,FALSE),"ID nao cadastrado"))</x:f>
      </x:c>
      <x:c r="F69" s="3" t="str">
        <x:f>IF($D69="","",IFERROR(VLOOKUP($D69,Clinicas!$A$4:$R$205,4,FALSE),""))</x:f>
      </x:c>
      <x:c r="G69" s="3" t="str"/>
      <x:c r="H69" s="6" t="str"/>
      <x:c r="I69" s="3" t="str">
        <x:v>Confirmar</x:v>
      </x:c>
      <x:c r="J69" s="3" t="str"/>
      <x:c r="K69" s="3" t="str"/>
    </x:row>
    <x:row r="70">
      <x:c r="A70" s="3" t="str"/>
      <x:c r="B70" s="5"/>
      <x:c r="C70" s="5"/>
      <x:c r="D70" s="3" t="str"/>
      <x:c r="E70" s="3" t="str">
        <x:f>IF($D70="","",IFERROR(VLOOKUP($D70,Clinicas!$A$4:$R$205,2,FALSE),"ID nao cadastrado"))</x:f>
      </x:c>
      <x:c r="F70" s="3" t="str">
        <x:f>IF($D70="","",IFERROR(VLOOKUP($D70,Clinicas!$A$4:$R$205,4,FALSE),""))</x:f>
      </x:c>
      <x:c r="G70" s="3" t="str"/>
      <x:c r="H70" s="6" t="str"/>
      <x:c r="I70" s="3" t="str">
        <x:v>Confirmar</x:v>
      </x:c>
      <x:c r="J70" s="3" t="str"/>
      <x:c r="K70" s="3" t="str"/>
    </x:row>
    <x:row r="71">
      <x:c r="A71" s="3" t="str"/>
      <x:c r="B71" s="5"/>
      <x:c r="C71" s="5"/>
      <x:c r="D71" s="3" t="str"/>
      <x:c r="E71" s="3" t="str">
        <x:f>IF($D71="","",IFERROR(VLOOKUP($D71,Clinicas!$A$4:$R$205,2,FALSE),"ID nao cadastrado"))</x:f>
      </x:c>
      <x:c r="F71" s="3" t="str">
        <x:f>IF($D71="","",IFERROR(VLOOKUP($D71,Clinicas!$A$4:$R$205,4,FALSE),""))</x:f>
      </x:c>
      <x:c r="G71" s="3" t="str"/>
      <x:c r="H71" s="6" t="str"/>
      <x:c r="I71" s="3" t="str">
        <x:v>Confirmar</x:v>
      </x:c>
      <x:c r="J71" s="3" t="str"/>
      <x:c r="K71" s="3" t="str"/>
    </x:row>
    <x:row r="72">
      <x:c r="A72" s="3" t="str"/>
      <x:c r="B72" s="5"/>
      <x:c r="C72" s="5"/>
      <x:c r="D72" s="3" t="str"/>
      <x:c r="E72" s="3" t="str">
        <x:f>IF($D72="","",IFERROR(VLOOKUP($D72,Clinicas!$A$4:$R$205,2,FALSE),"ID nao cadastrado"))</x:f>
      </x:c>
      <x:c r="F72" s="3" t="str">
        <x:f>IF($D72="","",IFERROR(VLOOKUP($D72,Clinicas!$A$4:$R$205,4,FALSE),""))</x:f>
      </x:c>
      <x:c r="G72" s="3" t="str"/>
      <x:c r="H72" s="6" t="str"/>
      <x:c r="I72" s="3" t="str">
        <x:v>Confirmar</x:v>
      </x:c>
      <x:c r="J72" s="3" t="str"/>
      <x:c r="K72" s="3" t="str"/>
    </x:row>
    <x:row r="73">
      <x:c r="A73" s="3" t="str"/>
      <x:c r="B73" s="5"/>
      <x:c r="C73" s="5"/>
      <x:c r="D73" s="3" t="str"/>
      <x:c r="E73" s="3" t="str">
        <x:f>IF($D73="","",IFERROR(VLOOKUP($D73,Clinicas!$A$4:$R$205,2,FALSE),"ID nao cadastrado"))</x:f>
      </x:c>
      <x:c r="F73" s="3" t="str">
        <x:f>IF($D73="","",IFERROR(VLOOKUP($D73,Clinicas!$A$4:$R$205,4,FALSE),""))</x:f>
      </x:c>
      <x:c r="G73" s="3" t="str"/>
      <x:c r="H73" s="6" t="str"/>
      <x:c r="I73" s="3" t="str">
        <x:v>Confirmar</x:v>
      </x:c>
      <x:c r="J73" s="3" t="str"/>
      <x:c r="K73" s="3" t="str"/>
    </x:row>
    <x:row r="74">
      <x:c r="A74" s="3" t="str"/>
      <x:c r="B74" s="5"/>
      <x:c r="C74" s="5"/>
      <x:c r="D74" s="3" t="str"/>
      <x:c r="E74" s="3" t="str">
        <x:f>IF($D74="","",IFERROR(VLOOKUP($D74,Clinicas!$A$4:$R$205,2,FALSE),"ID nao cadastrado"))</x:f>
      </x:c>
      <x:c r="F74" s="3" t="str">
        <x:f>IF($D74="","",IFERROR(VLOOKUP($D74,Clinicas!$A$4:$R$205,4,FALSE),""))</x:f>
      </x:c>
      <x:c r="G74" s="3" t="str"/>
      <x:c r="H74" s="6" t="str"/>
      <x:c r="I74" s="3" t="str">
        <x:v>Confirmar</x:v>
      </x:c>
      <x:c r="J74" s="3" t="str"/>
      <x:c r="K74" s="3" t="str"/>
    </x:row>
    <x:row r="75">
      <x:c r="A75" s="3" t="str"/>
      <x:c r="B75" s="5"/>
      <x:c r="C75" s="5"/>
      <x:c r="D75" s="3" t="str"/>
      <x:c r="E75" s="3" t="str">
        <x:f>IF($D75="","",IFERROR(VLOOKUP($D75,Clinicas!$A$4:$R$205,2,FALSE),"ID nao cadastrado"))</x:f>
      </x:c>
      <x:c r="F75" s="3" t="str">
        <x:f>IF($D75="","",IFERROR(VLOOKUP($D75,Clinicas!$A$4:$R$205,4,FALSE),""))</x:f>
      </x:c>
      <x:c r="G75" s="3" t="str"/>
      <x:c r="H75" s="6" t="str"/>
      <x:c r="I75" s="3" t="str">
        <x:v>Confirmar</x:v>
      </x:c>
      <x:c r="J75" s="3" t="str"/>
      <x:c r="K75" s="3" t="str"/>
    </x:row>
    <x:row r="76">
      <x:c r="A76" s="3" t="str"/>
      <x:c r="B76" s="5"/>
      <x:c r="C76" s="5"/>
      <x:c r="D76" s="3" t="str"/>
      <x:c r="E76" s="3" t="str">
        <x:f>IF($D76="","",IFERROR(VLOOKUP($D76,Clinicas!$A$4:$R$205,2,FALSE),"ID nao cadastrado"))</x:f>
      </x:c>
      <x:c r="F76" s="3" t="str">
        <x:f>IF($D76="","",IFERROR(VLOOKUP($D76,Clinicas!$A$4:$R$205,4,FALSE),""))</x:f>
      </x:c>
      <x:c r="G76" s="3" t="str"/>
      <x:c r="H76" s="6" t="str"/>
      <x:c r="I76" s="3" t="str">
        <x:v>Confirmar</x:v>
      </x:c>
      <x:c r="J76" s="3" t="str"/>
      <x:c r="K76" s="3" t="str"/>
    </x:row>
    <x:row r="77">
      <x:c r="A77" s="3" t="str"/>
      <x:c r="B77" s="5"/>
      <x:c r="C77" s="5"/>
      <x:c r="D77" s="3" t="str"/>
      <x:c r="E77" s="3" t="str">
        <x:f>IF($D77="","",IFERROR(VLOOKUP($D77,Clinicas!$A$4:$R$205,2,FALSE),"ID nao cadastrado"))</x:f>
      </x:c>
      <x:c r="F77" s="3" t="str">
        <x:f>IF($D77="","",IFERROR(VLOOKUP($D77,Clinicas!$A$4:$R$205,4,FALSE),""))</x:f>
      </x:c>
      <x:c r="G77" s="3" t="str"/>
      <x:c r="H77" s="6" t="str"/>
      <x:c r="I77" s="3" t="str">
        <x:v>Confirmar</x:v>
      </x:c>
      <x:c r="J77" s="3" t="str"/>
      <x:c r="K77" s="3" t="str"/>
    </x:row>
    <x:row r="78">
      <x:c r="A78" s="3" t="str"/>
      <x:c r="B78" s="5"/>
      <x:c r="C78" s="5"/>
      <x:c r="D78" s="3" t="str"/>
      <x:c r="E78" s="3" t="str">
        <x:f>IF($D78="","",IFERROR(VLOOKUP($D78,Clinicas!$A$4:$R$205,2,FALSE),"ID nao cadastrado"))</x:f>
      </x:c>
      <x:c r="F78" s="3" t="str">
        <x:f>IF($D78="","",IFERROR(VLOOKUP($D78,Clinicas!$A$4:$R$205,4,FALSE),""))</x:f>
      </x:c>
      <x:c r="G78" s="3" t="str"/>
      <x:c r="H78" s="6" t="str"/>
      <x:c r="I78" s="3" t="str">
        <x:v>Confirmar</x:v>
      </x:c>
      <x:c r="J78" s="3" t="str"/>
      <x:c r="K78" s="3" t="str"/>
    </x:row>
    <x:row r="79">
      <x:c r="A79" s="3" t="str"/>
      <x:c r="B79" s="5"/>
      <x:c r="C79" s="5"/>
      <x:c r="D79" s="3" t="str"/>
      <x:c r="E79" s="3" t="str">
        <x:f>IF($D79="","",IFERROR(VLOOKUP($D79,Clinicas!$A$4:$R$205,2,FALSE),"ID nao cadastrado"))</x:f>
      </x:c>
      <x:c r="F79" s="3" t="str">
        <x:f>IF($D79="","",IFERROR(VLOOKUP($D79,Clinicas!$A$4:$R$205,4,FALSE),""))</x:f>
      </x:c>
      <x:c r="G79" s="3" t="str"/>
      <x:c r="H79" s="6" t="str"/>
      <x:c r="I79" s="3" t="str">
        <x:v>Confirmar</x:v>
      </x:c>
      <x:c r="J79" s="3" t="str"/>
      <x:c r="K79" s="3" t="str"/>
    </x:row>
    <x:row r="80">
      <x:c r="A80" s="3" t="str"/>
      <x:c r="B80" s="5"/>
      <x:c r="C80" s="5"/>
      <x:c r="D80" s="3" t="str"/>
      <x:c r="E80" s="3" t="str">
        <x:f>IF($D80="","",IFERROR(VLOOKUP($D80,Clinicas!$A$4:$R$205,2,FALSE),"ID nao cadastrado"))</x:f>
      </x:c>
      <x:c r="F80" s="3" t="str">
        <x:f>IF($D80="","",IFERROR(VLOOKUP($D80,Clinicas!$A$4:$R$205,4,FALSE),""))</x:f>
      </x:c>
      <x:c r="G80" s="3" t="str"/>
      <x:c r="H80" s="6" t="str"/>
      <x:c r="I80" s="3" t="str">
        <x:v>Confirmar</x:v>
      </x:c>
      <x:c r="J80" s="3" t="str"/>
      <x:c r="K80" s="3" t="str"/>
    </x:row>
    <x:row r="81">
      <x:c r="A81" s="3" t="str"/>
      <x:c r="B81" s="5"/>
      <x:c r="C81" s="5"/>
      <x:c r="D81" s="3" t="str"/>
      <x:c r="E81" s="3" t="str">
        <x:f>IF($D81="","",IFERROR(VLOOKUP($D81,Clinicas!$A$4:$R$205,2,FALSE),"ID nao cadastrado"))</x:f>
      </x:c>
      <x:c r="F81" s="3" t="str">
        <x:f>IF($D81="","",IFERROR(VLOOKUP($D81,Clinicas!$A$4:$R$205,4,FALSE),""))</x:f>
      </x:c>
      <x:c r="G81" s="3" t="str"/>
      <x:c r="H81" s="6" t="str"/>
      <x:c r="I81" s="3" t="str">
        <x:v>Confirmar</x:v>
      </x:c>
      <x:c r="J81" s="3" t="str"/>
      <x:c r="K81" s="3" t="str"/>
    </x:row>
    <x:row r="82">
      <x:c r="A82" s="3" t="str"/>
      <x:c r="B82" s="5"/>
      <x:c r="C82" s="5"/>
      <x:c r="D82" s="3" t="str"/>
      <x:c r="E82" s="3" t="str">
        <x:f>IF($D82="","",IFERROR(VLOOKUP($D82,Clinicas!$A$4:$R$205,2,FALSE),"ID nao cadastrado"))</x:f>
      </x:c>
      <x:c r="F82" s="3" t="str">
        <x:f>IF($D82="","",IFERROR(VLOOKUP($D82,Clinicas!$A$4:$R$205,4,FALSE),""))</x:f>
      </x:c>
      <x:c r="G82" s="3" t="str"/>
      <x:c r="H82" s="6" t="str"/>
      <x:c r="I82" s="3" t="str">
        <x:v>Confirmar</x:v>
      </x:c>
      <x:c r="J82" s="3" t="str"/>
      <x:c r="K82" s="3" t="str"/>
    </x:row>
    <x:row r="83">
      <x:c r="A83" s="3" t="str"/>
      <x:c r="B83" s="5"/>
      <x:c r="C83" s="5"/>
      <x:c r="D83" s="3" t="str"/>
      <x:c r="E83" s="3" t="str">
        <x:f>IF($D83="","",IFERROR(VLOOKUP($D83,Clinicas!$A$4:$R$205,2,FALSE),"ID nao cadastrado"))</x:f>
      </x:c>
      <x:c r="F83" s="3" t="str">
        <x:f>IF($D83="","",IFERROR(VLOOKUP($D83,Clinicas!$A$4:$R$205,4,FALSE),""))</x:f>
      </x:c>
      <x:c r="G83" s="3" t="str"/>
      <x:c r="H83" s="6" t="str"/>
      <x:c r="I83" s="3" t="str">
        <x:v>Confirmar</x:v>
      </x:c>
      <x:c r="J83" s="3" t="str"/>
      <x:c r="K83" s="3" t="str"/>
    </x:row>
    <x:row r="84">
      <x:c r="A84" s="3" t="str"/>
      <x:c r="B84" s="5"/>
      <x:c r="C84" s="5"/>
      <x:c r="D84" s="3" t="str"/>
      <x:c r="E84" s="3" t="str">
        <x:f>IF($D84="","",IFERROR(VLOOKUP($D84,Clinicas!$A$4:$R$205,2,FALSE),"ID nao cadastrado"))</x:f>
      </x:c>
      <x:c r="F84" s="3" t="str">
        <x:f>IF($D84="","",IFERROR(VLOOKUP($D84,Clinicas!$A$4:$R$205,4,FALSE),""))</x:f>
      </x:c>
      <x:c r="G84" s="3" t="str"/>
      <x:c r="H84" s="6" t="str"/>
      <x:c r="I84" s="3" t="str">
        <x:v>Confirmar</x:v>
      </x:c>
      <x:c r="J84" s="3" t="str"/>
      <x:c r="K84" s="3" t="str"/>
    </x:row>
    <x:row r="85">
      <x:c r="A85" s="3" t="str"/>
      <x:c r="B85" s="5"/>
      <x:c r="C85" s="5"/>
      <x:c r="D85" s="3" t="str"/>
      <x:c r="E85" s="3" t="str">
        <x:f>IF($D85="","",IFERROR(VLOOKUP($D85,Clinicas!$A$4:$R$205,2,FALSE),"ID nao cadastrado"))</x:f>
      </x:c>
      <x:c r="F85" s="3" t="str">
        <x:f>IF($D85="","",IFERROR(VLOOKUP($D85,Clinicas!$A$4:$R$205,4,FALSE),""))</x:f>
      </x:c>
      <x:c r="G85" s="3" t="str"/>
      <x:c r="H85" s="6" t="str"/>
      <x:c r="I85" s="3" t="str">
        <x:v>Confirmar</x:v>
      </x:c>
      <x:c r="J85" s="3" t="str"/>
      <x:c r="K85" s="3" t="str"/>
    </x:row>
    <x:row r="86">
      <x:c r="A86" s="3" t="str"/>
      <x:c r="B86" s="5"/>
      <x:c r="C86" s="5"/>
      <x:c r="D86" s="3" t="str"/>
      <x:c r="E86" s="3" t="str">
        <x:f>IF($D86="","",IFERROR(VLOOKUP($D86,Clinicas!$A$4:$R$205,2,FALSE),"ID nao cadastrado"))</x:f>
      </x:c>
      <x:c r="F86" s="3" t="str">
        <x:f>IF($D86="","",IFERROR(VLOOKUP($D86,Clinicas!$A$4:$R$205,4,FALSE),""))</x:f>
      </x:c>
      <x:c r="G86" s="3" t="str"/>
      <x:c r="H86" s="6" t="str"/>
      <x:c r="I86" s="3" t="str">
        <x:v>Confirmar</x:v>
      </x:c>
      <x:c r="J86" s="3" t="str"/>
      <x:c r="K86" s="3" t="str"/>
    </x:row>
    <x:row r="87">
      <x:c r="A87" s="3" t="str"/>
      <x:c r="B87" s="5"/>
      <x:c r="C87" s="5"/>
      <x:c r="D87" s="3" t="str"/>
      <x:c r="E87" s="3" t="str">
        <x:f>IF($D87="","",IFERROR(VLOOKUP($D87,Clinicas!$A$4:$R$205,2,FALSE),"ID nao cadastrado"))</x:f>
      </x:c>
      <x:c r="F87" s="3" t="str">
        <x:f>IF($D87="","",IFERROR(VLOOKUP($D87,Clinicas!$A$4:$R$205,4,FALSE),""))</x:f>
      </x:c>
      <x:c r="G87" s="3" t="str"/>
      <x:c r="H87" s="6" t="str"/>
      <x:c r="I87" s="3" t="str">
        <x:v>Confirmar</x:v>
      </x:c>
      <x:c r="J87" s="3" t="str"/>
      <x:c r="K87" s="3" t="str"/>
    </x:row>
    <x:row r="88">
      <x:c r="A88" s="3" t="str"/>
      <x:c r="B88" s="5"/>
      <x:c r="C88" s="5"/>
      <x:c r="D88" s="3" t="str"/>
      <x:c r="E88" s="3" t="str">
        <x:f>IF($D88="","",IFERROR(VLOOKUP($D88,Clinicas!$A$4:$R$205,2,FALSE),"ID nao cadastrado"))</x:f>
      </x:c>
      <x:c r="F88" s="3" t="str">
        <x:f>IF($D88="","",IFERROR(VLOOKUP($D88,Clinicas!$A$4:$R$205,4,FALSE),""))</x:f>
      </x:c>
      <x:c r="G88" s="3" t="str"/>
      <x:c r="H88" s="6" t="str"/>
      <x:c r="I88" s="3" t="str">
        <x:v>Confirmar</x:v>
      </x:c>
      <x:c r="J88" s="3" t="str"/>
      <x:c r="K88" s="3" t="str"/>
    </x:row>
    <x:row r="89">
      <x:c r="A89" s="3" t="str"/>
      <x:c r="B89" s="5"/>
      <x:c r="C89" s="5"/>
      <x:c r="D89" s="3" t="str"/>
      <x:c r="E89" s="3" t="str">
        <x:f>IF($D89="","",IFERROR(VLOOKUP($D89,Clinicas!$A$4:$R$205,2,FALSE),"ID nao cadastrado"))</x:f>
      </x:c>
      <x:c r="F89" s="3" t="str">
        <x:f>IF($D89="","",IFERROR(VLOOKUP($D89,Clinicas!$A$4:$R$205,4,FALSE),""))</x:f>
      </x:c>
      <x:c r="G89" s="3" t="str"/>
      <x:c r="H89" s="6" t="str"/>
      <x:c r="I89" s="3" t="str">
        <x:v>Confirmar</x:v>
      </x:c>
      <x:c r="J89" s="3" t="str"/>
      <x:c r="K89" s="3" t="str"/>
    </x:row>
    <x:row r="90">
      <x:c r="A90" s="3" t="str"/>
      <x:c r="B90" s="5"/>
      <x:c r="C90" s="5"/>
      <x:c r="D90" s="3" t="str"/>
      <x:c r="E90" s="3" t="str">
        <x:f>IF($D90="","",IFERROR(VLOOKUP($D90,Clinicas!$A$4:$R$205,2,FALSE),"ID nao cadastrado"))</x:f>
      </x:c>
      <x:c r="F90" s="3" t="str">
        <x:f>IF($D90="","",IFERROR(VLOOKUP($D90,Clinicas!$A$4:$R$205,4,FALSE),""))</x:f>
      </x:c>
      <x:c r="G90" s="3" t="str"/>
      <x:c r="H90" s="6" t="str"/>
      <x:c r="I90" s="3" t="str">
        <x:v>Confirmar</x:v>
      </x:c>
      <x:c r="J90" s="3" t="str"/>
      <x:c r="K90" s="3" t="str"/>
    </x:row>
    <x:row r="91">
      <x:c r="A91" s="3" t="str"/>
      <x:c r="B91" s="5"/>
      <x:c r="C91" s="5"/>
      <x:c r="D91" s="3" t="str"/>
      <x:c r="E91" s="3" t="str">
        <x:f>IF($D91="","",IFERROR(VLOOKUP($D91,Clinicas!$A$4:$R$205,2,FALSE),"ID nao cadastrado"))</x:f>
      </x:c>
      <x:c r="F91" s="3" t="str">
        <x:f>IF($D91="","",IFERROR(VLOOKUP($D91,Clinicas!$A$4:$R$205,4,FALSE),""))</x:f>
      </x:c>
      <x:c r="G91" s="3" t="str"/>
      <x:c r="H91" s="6" t="str"/>
      <x:c r="I91" s="3" t="str">
        <x:v>Confirmar</x:v>
      </x:c>
      <x:c r="J91" s="3" t="str"/>
      <x:c r="K91" s="3" t="str"/>
    </x:row>
    <x:row r="92">
      <x:c r="A92" s="3" t="str"/>
      <x:c r="B92" s="5"/>
      <x:c r="C92" s="5"/>
      <x:c r="D92" s="3" t="str"/>
      <x:c r="E92" s="3" t="str">
        <x:f>IF($D92="","",IFERROR(VLOOKUP($D92,Clinicas!$A$4:$R$205,2,FALSE),"ID nao cadastrado"))</x:f>
      </x:c>
      <x:c r="F92" s="3" t="str">
        <x:f>IF($D92="","",IFERROR(VLOOKUP($D92,Clinicas!$A$4:$R$205,4,FALSE),""))</x:f>
      </x:c>
      <x:c r="G92" s="3" t="str"/>
      <x:c r="H92" s="6" t="str"/>
      <x:c r="I92" s="3" t="str">
        <x:v>Confirmar</x:v>
      </x:c>
      <x:c r="J92" s="3" t="str"/>
      <x:c r="K92" s="3" t="str"/>
    </x:row>
    <x:row r="93">
      <x:c r="A93" s="3" t="str"/>
      <x:c r="B93" s="5"/>
      <x:c r="C93" s="5"/>
      <x:c r="D93" s="3" t="str"/>
      <x:c r="E93" s="3" t="str">
        <x:f>IF($D93="","",IFERROR(VLOOKUP($D93,Clinicas!$A$4:$R$205,2,FALSE),"ID nao cadastrado"))</x:f>
      </x:c>
      <x:c r="F93" s="3" t="str">
        <x:f>IF($D93="","",IFERROR(VLOOKUP($D93,Clinicas!$A$4:$R$205,4,FALSE),""))</x:f>
      </x:c>
      <x:c r="G93" s="3" t="str"/>
      <x:c r="H93" s="6" t="str"/>
      <x:c r="I93" s="3" t="str">
        <x:v>Confirmar</x:v>
      </x:c>
      <x:c r="J93" s="3" t="str"/>
      <x:c r="K93" s="3" t="str"/>
    </x:row>
    <x:row r="94">
      <x:c r="A94" s="3" t="str"/>
      <x:c r="B94" s="5"/>
      <x:c r="C94" s="5"/>
      <x:c r="D94" s="3" t="str"/>
      <x:c r="E94" s="3" t="str">
        <x:f>IF($D94="","",IFERROR(VLOOKUP($D94,Clinicas!$A$4:$R$205,2,FALSE),"ID nao cadastrado"))</x:f>
      </x:c>
      <x:c r="F94" s="3" t="str">
        <x:f>IF($D94="","",IFERROR(VLOOKUP($D94,Clinicas!$A$4:$R$205,4,FALSE),""))</x:f>
      </x:c>
      <x:c r="G94" s="3" t="str"/>
      <x:c r="H94" s="6" t="str"/>
      <x:c r="I94" s="3" t="str">
        <x:v>Confirmar</x:v>
      </x:c>
      <x:c r="J94" s="3" t="str"/>
      <x:c r="K94" s="3" t="str"/>
    </x:row>
    <x:row r="95">
      <x:c r="A95" s="3" t="str"/>
      <x:c r="B95" s="5"/>
      <x:c r="C95" s="5"/>
      <x:c r="D95" s="3" t="str"/>
      <x:c r="E95" s="3" t="str">
        <x:f>IF($D95="","",IFERROR(VLOOKUP($D95,Clinicas!$A$4:$R$205,2,FALSE),"ID nao cadastrado"))</x:f>
      </x:c>
      <x:c r="F95" s="3" t="str">
        <x:f>IF($D95="","",IFERROR(VLOOKUP($D95,Clinicas!$A$4:$R$205,4,FALSE),""))</x:f>
      </x:c>
      <x:c r="G95" s="3" t="str"/>
      <x:c r="H95" s="6" t="str"/>
      <x:c r="I95" s="3" t="str">
        <x:v>Confirmar</x:v>
      </x:c>
      <x:c r="J95" s="3" t="str"/>
      <x:c r="K95" s="3" t="str"/>
    </x:row>
    <x:row r="96">
      <x:c r="A96" s="3" t="str"/>
      <x:c r="B96" s="5"/>
      <x:c r="C96" s="5"/>
      <x:c r="D96" s="3" t="str"/>
      <x:c r="E96" s="3" t="str">
        <x:f>IF($D96="","",IFERROR(VLOOKUP($D96,Clinicas!$A$4:$R$205,2,FALSE),"ID nao cadastrado"))</x:f>
      </x:c>
      <x:c r="F96" s="3" t="str">
        <x:f>IF($D96="","",IFERROR(VLOOKUP($D96,Clinicas!$A$4:$R$205,4,FALSE),""))</x:f>
      </x:c>
      <x:c r="G96" s="3" t="str"/>
      <x:c r="H96" s="6" t="str"/>
      <x:c r="I96" s="3" t="str">
        <x:v>Confirmar</x:v>
      </x:c>
      <x:c r="J96" s="3" t="str"/>
      <x:c r="K96" s="3" t="str"/>
    </x:row>
    <x:row r="97">
      <x:c r="A97" s="3" t="str"/>
      <x:c r="B97" s="5"/>
      <x:c r="C97" s="5"/>
      <x:c r="D97" s="3" t="str"/>
      <x:c r="E97" s="3" t="str">
        <x:f>IF($D97="","",IFERROR(VLOOKUP($D97,Clinicas!$A$4:$R$205,2,FALSE),"ID nao cadastrado"))</x:f>
      </x:c>
      <x:c r="F97" s="3" t="str">
        <x:f>IF($D97="","",IFERROR(VLOOKUP($D97,Clinicas!$A$4:$R$205,4,FALSE),""))</x:f>
      </x:c>
      <x:c r="G97" s="3" t="str"/>
      <x:c r="H97" s="6" t="str"/>
      <x:c r="I97" s="3" t="str">
        <x:v>Confirmar</x:v>
      </x:c>
      <x:c r="J97" s="3" t="str"/>
      <x:c r="K97" s="3" t="str"/>
    </x:row>
    <x:row r="98">
      <x:c r="A98" s="3" t="str"/>
      <x:c r="B98" s="5"/>
      <x:c r="C98" s="5"/>
      <x:c r="D98" s="3" t="str"/>
      <x:c r="E98" s="3" t="str">
        <x:f>IF($D98="","",IFERROR(VLOOKUP($D98,Clinicas!$A$4:$R$205,2,FALSE),"ID nao cadastrado"))</x:f>
      </x:c>
      <x:c r="F98" s="3" t="str">
        <x:f>IF($D98="","",IFERROR(VLOOKUP($D98,Clinicas!$A$4:$R$205,4,FALSE),""))</x:f>
      </x:c>
      <x:c r="G98" s="3" t="str"/>
      <x:c r="H98" s="6" t="str"/>
      <x:c r="I98" s="3" t="str">
        <x:v>Confirmar</x:v>
      </x:c>
      <x:c r="J98" s="3" t="str"/>
      <x:c r="K98" s="3" t="str"/>
    </x:row>
    <x:row r="99">
      <x:c r="A99" s="3" t="str"/>
      <x:c r="B99" s="5"/>
      <x:c r="C99" s="5"/>
      <x:c r="D99" s="3" t="str"/>
      <x:c r="E99" s="3" t="str">
        <x:f>IF($D99="","",IFERROR(VLOOKUP($D99,Clinicas!$A$4:$R$205,2,FALSE),"ID nao cadastrado"))</x:f>
      </x:c>
      <x:c r="F99" s="3" t="str">
        <x:f>IF($D99="","",IFERROR(VLOOKUP($D99,Clinicas!$A$4:$R$205,4,FALSE),""))</x:f>
      </x:c>
      <x:c r="G99" s="3" t="str"/>
      <x:c r="H99" s="6" t="str"/>
      <x:c r="I99" s="3" t="str">
        <x:v>Confirmar</x:v>
      </x:c>
      <x:c r="J99" s="3" t="str"/>
      <x:c r="K99" s="3" t="str"/>
    </x:row>
    <x:row r="100">
      <x:c r="A100" s="3" t="str"/>
      <x:c r="B100" s="5"/>
      <x:c r="C100" s="5"/>
      <x:c r="D100" s="3" t="str"/>
      <x:c r="E100" s="3" t="str">
        <x:f>IF($D100="","",IFERROR(VLOOKUP($D100,Clinicas!$A$4:$R$205,2,FALSE),"ID nao cadastrado"))</x:f>
      </x:c>
      <x:c r="F100" s="3" t="str">
        <x:f>IF($D100="","",IFERROR(VLOOKUP($D100,Clinicas!$A$4:$R$205,4,FALSE),""))</x:f>
      </x:c>
      <x:c r="G100" s="3" t="str"/>
      <x:c r="H100" s="6" t="str"/>
      <x:c r="I100" s="3" t="str">
        <x:v>Confirmar</x:v>
      </x:c>
      <x:c r="J100" s="3" t="str"/>
      <x:c r="K100" s="3" t="str"/>
    </x:row>
    <x:row r="101">
      <x:c r="A101" s="3" t="str"/>
      <x:c r="B101" s="5"/>
      <x:c r="C101" s="5"/>
      <x:c r="D101" s="3" t="str"/>
      <x:c r="E101" s="3" t="str">
        <x:f>IF($D101="","",IFERROR(VLOOKUP($D101,Clinicas!$A$4:$R$205,2,FALSE),"ID nao cadastrado"))</x:f>
      </x:c>
      <x:c r="F101" s="3" t="str">
        <x:f>IF($D101="","",IFERROR(VLOOKUP($D101,Clinicas!$A$4:$R$205,4,FALSE),""))</x:f>
      </x:c>
      <x:c r="G101" s="3" t="str"/>
      <x:c r="H101" s="6" t="str"/>
      <x:c r="I101" s="3" t="str">
        <x:v>Confirmar</x:v>
      </x:c>
      <x:c r="J101" s="3" t="str"/>
      <x:c r="K101" s="3" t="str"/>
    </x:row>
    <x:row r="102">
      <x:c r="A102" s="3" t="str"/>
      <x:c r="B102" s="5"/>
      <x:c r="C102" s="5"/>
      <x:c r="D102" s="3" t="str"/>
      <x:c r="E102" s="3" t="str">
        <x:f>IF($D102="","",IFERROR(VLOOKUP($D102,Clinicas!$A$4:$R$205,2,FALSE),"ID nao cadastrado"))</x:f>
      </x:c>
      <x:c r="F102" s="3" t="str">
        <x:f>IF($D102="","",IFERROR(VLOOKUP($D102,Clinicas!$A$4:$R$205,4,FALSE),""))</x:f>
      </x:c>
      <x:c r="G102" s="3" t="str"/>
      <x:c r="H102" s="6" t="str"/>
      <x:c r="I102" s="3" t="str">
        <x:v>Confirmar</x:v>
      </x:c>
      <x:c r="J102" s="3" t="str"/>
      <x:c r="K102" s="3" t="str"/>
    </x:row>
    <x:row r="103">
      <x:c r="A103" s="3" t="str"/>
      <x:c r="B103" s="5"/>
      <x:c r="C103" s="5"/>
      <x:c r="D103" s="3" t="str"/>
      <x:c r="E103" s="3" t="str">
        <x:f>IF($D103="","",IFERROR(VLOOKUP($D103,Clinicas!$A$4:$R$205,2,FALSE),"ID nao cadastrado"))</x:f>
      </x:c>
      <x:c r="F103" s="3" t="str">
        <x:f>IF($D103="","",IFERROR(VLOOKUP($D103,Clinicas!$A$4:$R$205,4,FALSE),""))</x:f>
      </x:c>
      <x:c r="G103" s="3" t="str"/>
      <x:c r="H103" s="6" t="str"/>
      <x:c r="I103" s="3" t="str">
        <x:v>Confirmar</x:v>
      </x:c>
      <x:c r="J103" s="3" t="str"/>
      <x:c r="K103" s="3" t="str"/>
    </x:row>
    <x:row r="104">
      <x:c r="A104" s="3" t="str"/>
      <x:c r="B104" s="5"/>
      <x:c r="C104" s="5"/>
      <x:c r="D104" s="3" t="str"/>
      <x:c r="E104" s="3" t="str">
        <x:f>IF($D104="","",IFERROR(VLOOKUP($D104,Clinicas!$A$4:$R$205,2,FALSE),"ID nao cadastrado"))</x:f>
      </x:c>
      <x:c r="F104" s="3" t="str">
        <x:f>IF($D104="","",IFERROR(VLOOKUP($D104,Clinicas!$A$4:$R$205,4,FALSE),""))</x:f>
      </x:c>
      <x:c r="G104" s="3" t="str"/>
      <x:c r="H104" s="6" t="str"/>
      <x:c r="I104" s="3" t="str">
        <x:v>Confirmar</x:v>
      </x:c>
      <x:c r="J104" s="3" t="str"/>
      <x:c r="K104" s="3" t="str"/>
    </x:row>
    <x:row r="105">
      <x:c r="A105" s="3" t="str"/>
      <x:c r="B105" s="5"/>
      <x:c r="C105" s="5"/>
      <x:c r="D105" s="3" t="str"/>
      <x:c r="E105" s="3" t="str">
        <x:f>IF($D105="","",IFERROR(VLOOKUP($D105,Clinicas!$A$4:$R$205,2,FALSE),"ID nao cadastrado"))</x:f>
      </x:c>
      <x:c r="F105" s="3" t="str">
        <x:f>IF($D105="","",IFERROR(VLOOKUP($D105,Clinicas!$A$4:$R$205,4,FALSE),""))</x:f>
      </x:c>
      <x:c r="G105" s="3" t="str"/>
      <x:c r="H105" s="6" t="str"/>
      <x:c r="I105" s="3" t="str">
        <x:v>Confirmar</x:v>
      </x:c>
      <x:c r="J105" s="3" t="str"/>
      <x:c r="K105" s="3" t="str"/>
    </x:row>
    <x:row r="106">
      <x:c r="A106" s="3" t="str"/>
      <x:c r="B106" s="5"/>
      <x:c r="C106" s="5"/>
      <x:c r="D106" s="3" t="str"/>
      <x:c r="E106" s="3" t="str">
        <x:f>IF($D106="","",IFERROR(VLOOKUP($D106,Clinicas!$A$4:$R$205,2,FALSE),"ID nao cadastrado"))</x:f>
      </x:c>
      <x:c r="F106" s="3" t="str">
        <x:f>IF($D106="","",IFERROR(VLOOKUP($D106,Clinicas!$A$4:$R$205,4,FALSE),""))</x:f>
      </x:c>
      <x:c r="G106" s="3" t="str"/>
      <x:c r="H106" s="6" t="str"/>
      <x:c r="I106" s="3" t="str">
        <x:v>Confirmar</x:v>
      </x:c>
      <x:c r="J106" s="3" t="str"/>
      <x:c r="K106" s="3" t="str"/>
    </x:row>
    <x:row r="107">
      <x:c r="A107" s="3" t="str"/>
      <x:c r="B107" s="5"/>
      <x:c r="C107" s="5"/>
      <x:c r="D107" s="3" t="str"/>
      <x:c r="E107" s="3" t="str">
        <x:f>IF($D107="","",IFERROR(VLOOKUP($D107,Clinicas!$A$4:$R$205,2,FALSE),"ID nao cadastrado"))</x:f>
      </x:c>
      <x:c r="F107" s="3" t="str">
        <x:f>IF($D107="","",IFERROR(VLOOKUP($D107,Clinicas!$A$4:$R$205,4,FALSE),""))</x:f>
      </x:c>
      <x:c r="G107" s="3" t="str"/>
      <x:c r="H107" s="6" t="str"/>
      <x:c r="I107" s="3" t="str">
        <x:v>Confirmar</x:v>
      </x:c>
      <x:c r="J107" s="3" t="str"/>
      <x:c r="K107" s="3" t="str"/>
    </x:row>
    <x:row r="108">
      <x:c r="A108" s="3" t="str"/>
      <x:c r="B108" s="5"/>
      <x:c r="C108" s="5"/>
      <x:c r="D108" s="3" t="str"/>
      <x:c r="E108" s="3" t="str">
        <x:f>IF($D108="","",IFERROR(VLOOKUP($D108,Clinicas!$A$4:$R$205,2,FALSE),"ID nao cadastrado"))</x:f>
      </x:c>
      <x:c r="F108" s="3" t="str">
        <x:f>IF($D108="","",IFERROR(VLOOKUP($D108,Clinicas!$A$4:$R$205,4,FALSE),""))</x:f>
      </x:c>
      <x:c r="G108" s="3" t="str"/>
      <x:c r="H108" s="6" t="str"/>
      <x:c r="I108" s="3" t="str">
        <x:v>Confirmar</x:v>
      </x:c>
      <x:c r="J108" s="3" t="str"/>
      <x:c r="K108" s="3" t="str"/>
    </x:row>
    <x:row r="109">
      <x:c r="A109" s="3" t="str"/>
      <x:c r="B109" s="5"/>
      <x:c r="C109" s="5"/>
      <x:c r="D109" s="3" t="str"/>
      <x:c r="E109" s="3" t="str">
        <x:f>IF($D109="","",IFERROR(VLOOKUP($D109,Clinicas!$A$4:$R$205,2,FALSE),"ID nao cadastrado"))</x:f>
      </x:c>
      <x:c r="F109" s="3" t="str">
        <x:f>IF($D109="","",IFERROR(VLOOKUP($D109,Clinicas!$A$4:$R$205,4,FALSE),""))</x:f>
      </x:c>
      <x:c r="G109" s="3" t="str"/>
      <x:c r="H109" s="6" t="str"/>
      <x:c r="I109" s="3" t="str">
        <x:v>Confirmar</x:v>
      </x:c>
      <x:c r="J109" s="3" t="str"/>
      <x:c r="K109" s="3" t="str"/>
    </x:row>
    <x:row r="110">
      <x:c r="A110" s="3" t="str"/>
      <x:c r="B110" s="5"/>
      <x:c r="C110" s="5"/>
      <x:c r="D110" s="3" t="str"/>
      <x:c r="E110" s="3" t="str">
        <x:f>IF($D110="","",IFERROR(VLOOKUP($D110,Clinicas!$A$4:$R$205,2,FALSE),"ID nao cadastrado"))</x:f>
      </x:c>
      <x:c r="F110" s="3" t="str">
        <x:f>IF($D110="","",IFERROR(VLOOKUP($D110,Clinicas!$A$4:$R$205,4,FALSE),""))</x:f>
      </x:c>
      <x:c r="G110" s="3" t="str"/>
      <x:c r="H110" s="6" t="str"/>
      <x:c r="I110" s="3" t="str">
        <x:v>Confirmar</x:v>
      </x:c>
      <x:c r="J110" s="3" t="str"/>
      <x:c r="K110" s="3" t="str"/>
    </x:row>
    <x:row r="111">
      <x:c r="A111" s="3" t="str"/>
      <x:c r="B111" s="5"/>
      <x:c r="C111" s="5"/>
      <x:c r="D111" s="3" t="str"/>
      <x:c r="E111" s="3" t="str">
        <x:f>IF($D111="","",IFERROR(VLOOKUP($D111,Clinicas!$A$4:$R$205,2,FALSE),"ID nao cadastrado"))</x:f>
      </x:c>
      <x:c r="F111" s="3" t="str">
        <x:f>IF($D111="","",IFERROR(VLOOKUP($D111,Clinicas!$A$4:$R$205,4,FALSE),""))</x:f>
      </x:c>
      <x:c r="G111" s="3" t="str"/>
      <x:c r="H111" s="6" t="str"/>
      <x:c r="I111" s="3" t="str">
        <x:v>Confirmar</x:v>
      </x:c>
      <x:c r="J111" s="3" t="str"/>
      <x:c r="K111" s="3" t="str"/>
    </x:row>
    <x:row r="112">
      <x:c r="A112" s="3" t="str"/>
      <x:c r="B112" s="5"/>
      <x:c r="C112" s="5"/>
      <x:c r="D112" s="3" t="str"/>
      <x:c r="E112" s="3" t="str">
        <x:f>IF($D112="","",IFERROR(VLOOKUP($D112,Clinicas!$A$4:$R$205,2,FALSE),"ID nao cadastrado"))</x:f>
      </x:c>
      <x:c r="F112" s="3" t="str">
        <x:f>IF($D112="","",IFERROR(VLOOKUP($D112,Clinicas!$A$4:$R$205,4,FALSE),""))</x:f>
      </x:c>
      <x:c r="G112" s="3" t="str"/>
      <x:c r="H112" s="6" t="str"/>
      <x:c r="I112" s="3" t="str">
        <x:v>Confirmar</x:v>
      </x:c>
      <x:c r="J112" s="3" t="str"/>
      <x:c r="K112" s="3" t="str"/>
    </x:row>
    <x:row r="113">
      <x:c r="A113" s="3" t="str"/>
      <x:c r="B113" s="5"/>
      <x:c r="C113" s="5"/>
      <x:c r="D113" s="3" t="str"/>
      <x:c r="E113" s="3" t="str">
        <x:f>IF($D113="","",IFERROR(VLOOKUP($D113,Clinicas!$A$4:$R$205,2,FALSE),"ID nao cadastrado"))</x:f>
      </x:c>
      <x:c r="F113" s="3" t="str">
        <x:f>IF($D113="","",IFERROR(VLOOKUP($D113,Clinicas!$A$4:$R$205,4,FALSE),""))</x:f>
      </x:c>
      <x:c r="G113" s="3" t="str"/>
      <x:c r="H113" s="6" t="str"/>
      <x:c r="I113" s="3" t="str">
        <x:v>Confirmar</x:v>
      </x:c>
      <x:c r="J113" s="3" t="str"/>
      <x:c r="K113" s="3" t="str"/>
    </x:row>
    <x:row r="114">
      <x:c r="A114" s="3" t="str"/>
      <x:c r="B114" s="5"/>
      <x:c r="C114" s="5"/>
      <x:c r="D114" s="3" t="str"/>
      <x:c r="E114" s="3" t="str">
        <x:f>IF($D114="","",IFERROR(VLOOKUP($D114,Clinicas!$A$4:$R$205,2,FALSE),"ID nao cadastrado"))</x:f>
      </x:c>
      <x:c r="F114" s="3" t="str">
        <x:f>IF($D114="","",IFERROR(VLOOKUP($D114,Clinicas!$A$4:$R$205,4,FALSE),""))</x:f>
      </x:c>
      <x:c r="G114" s="3" t="str"/>
      <x:c r="H114" s="6" t="str"/>
      <x:c r="I114" s="3" t="str">
        <x:v>Confirmar</x:v>
      </x:c>
      <x:c r="J114" s="3" t="str"/>
      <x:c r="K114" s="3" t="str"/>
    </x:row>
    <x:row r="115">
      <x:c r="A115" s="3" t="str"/>
      <x:c r="B115" s="5"/>
      <x:c r="C115" s="5"/>
      <x:c r="D115" s="3" t="str"/>
      <x:c r="E115" s="3" t="str">
        <x:f>IF($D115="","",IFERROR(VLOOKUP($D115,Clinicas!$A$4:$R$205,2,FALSE),"ID nao cadastrado"))</x:f>
      </x:c>
      <x:c r="F115" s="3" t="str">
        <x:f>IF($D115="","",IFERROR(VLOOKUP($D115,Clinicas!$A$4:$R$205,4,FALSE),""))</x:f>
      </x:c>
      <x:c r="G115" s="3" t="str"/>
      <x:c r="H115" s="6" t="str"/>
      <x:c r="I115" s="3" t="str">
        <x:v>Confirmar</x:v>
      </x:c>
      <x:c r="J115" s="3" t="str"/>
      <x:c r="K115" s="3" t="str"/>
    </x:row>
    <x:row r="116">
      <x:c r="A116" s="3" t="str"/>
      <x:c r="B116" s="5"/>
      <x:c r="C116" s="5"/>
      <x:c r="D116" s="3" t="str"/>
      <x:c r="E116" s="3" t="str">
        <x:f>IF($D116="","",IFERROR(VLOOKUP($D116,Clinicas!$A$4:$R$205,2,FALSE),"ID nao cadastrado"))</x:f>
      </x:c>
      <x:c r="F116" s="3" t="str">
        <x:f>IF($D116="","",IFERROR(VLOOKUP($D116,Clinicas!$A$4:$R$205,4,FALSE),""))</x:f>
      </x:c>
      <x:c r="G116" s="3" t="str"/>
      <x:c r="H116" s="6" t="str"/>
      <x:c r="I116" s="3" t="str">
        <x:v>Confirmar</x:v>
      </x:c>
      <x:c r="J116" s="3" t="str"/>
      <x:c r="K116" s="3" t="str"/>
    </x:row>
    <x:row r="117">
      <x:c r="A117" s="3" t="str"/>
      <x:c r="B117" s="5"/>
      <x:c r="C117" s="5"/>
      <x:c r="D117" s="3" t="str"/>
      <x:c r="E117" s="3" t="str">
        <x:f>IF($D117="","",IFERROR(VLOOKUP($D117,Clinicas!$A$4:$R$205,2,FALSE),"ID nao cadastrado"))</x:f>
      </x:c>
      <x:c r="F117" s="3" t="str">
        <x:f>IF($D117="","",IFERROR(VLOOKUP($D117,Clinicas!$A$4:$R$205,4,FALSE),""))</x:f>
      </x:c>
      <x:c r="G117" s="3" t="str"/>
      <x:c r="H117" s="6" t="str"/>
      <x:c r="I117" s="3" t="str">
        <x:v>Confirmar</x:v>
      </x:c>
      <x:c r="J117" s="3" t="str"/>
      <x:c r="K117" s="3" t="str"/>
    </x:row>
    <x:row r="118">
      <x:c r="A118" s="3" t="str"/>
      <x:c r="B118" s="5"/>
      <x:c r="C118" s="5"/>
      <x:c r="D118" s="3" t="str"/>
      <x:c r="E118" s="3" t="str">
        <x:f>IF($D118="","",IFERROR(VLOOKUP($D118,Clinicas!$A$4:$R$205,2,FALSE),"ID nao cadastrado"))</x:f>
      </x:c>
      <x:c r="F118" s="3" t="str">
        <x:f>IF($D118="","",IFERROR(VLOOKUP($D118,Clinicas!$A$4:$R$205,4,FALSE),""))</x:f>
      </x:c>
      <x:c r="G118" s="3" t="str"/>
      <x:c r="H118" s="6" t="str"/>
      <x:c r="I118" s="3" t="str">
        <x:v>Confirmar</x:v>
      </x:c>
      <x:c r="J118" s="3" t="str"/>
      <x:c r="K118" s="3" t="str"/>
    </x:row>
    <x:row r="119">
      <x:c r="A119" s="3" t="str"/>
      <x:c r="B119" s="5"/>
      <x:c r="C119" s="5"/>
      <x:c r="D119" s="3" t="str"/>
      <x:c r="E119" s="3" t="str">
        <x:f>IF($D119="","",IFERROR(VLOOKUP($D119,Clinicas!$A$4:$R$205,2,FALSE),"ID nao cadastrado"))</x:f>
      </x:c>
      <x:c r="F119" s="3" t="str">
        <x:f>IF($D119="","",IFERROR(VLOOKUP($D119,Clinicas!$A$4:$R$205,4,FALSE),""))</x:f>
      </x:c>
      <x:c r="G119" s="3" t="str"/>
      <x:c r="H119" s="6" t="str"/>
      <x:c r="I119" s="3" t="str">
        <x:v>Confirmar</x:v>
      </x:c>
      <x:c r="J119" s="3" t="str"/>
      <x:c r="K119" s="3" t="str"/>
    </x:row>
    <x:row r="120">
      <x:c r="A120" s="3" t="str"/>
      <x:c r="B120" s="5"/>
      <x:c r="C120" s="5"/>
      <x:c r="D120" s="3" t="str"/>
      <x:c r="E120" s="3" t="str">
        <x:f>IF($D120="","",IFERROR(VLOOKUP($D120,Clinicas!$A$4:$R$205,2,FALSE),"ID nao cadastrado"))</x:f>
      </x:c>
      <x:c r="F120" s="3" t="str">
        <x:f>IF($D120="","",IFERROR(VLOOKUP($D120,Clinicas!$A$4:$R$205,4,FALSE),""))</x:f>
      </x:c>
      <x:c r="G120" s="3" t="str"/>
      <x:c r="H120" s="6" t="str"/>
      <x:c r="I120" s="3" t="str">
        <x:v>Confirmar</x:v>
      </x:c>
      <x:c r="J120" s="3" t="str"/>
      <x:c r="K120" s="3" t="str"/>
    </x:row>
    <x:row r="121">
      <x:c r="A121" s="3" t="str"/>
      <x:c r="B121" s="5"/>
      <x:c r="C121" s="5"/>
      <x:c r="D121" s="3" t="str"/>
      <x:c r="E121" s="3" t="str">
        <x:f>IF($D121="","",IFERROR(VLOOKUP($D121,Clinicas!$A$4:$R$205,2,FALSE),"ID nao cadastrado"))</x:f>
      </x:c>
      <x:c r="F121" s="3" t="str">
        <x:f>IF($D121="","",IFERROR(VLOOKUP($D121,Clinicas!$A$4:$R$205,4,FALSE),""))</x:f>
      </x:c>
      <x:c r="G121" s="3" t="str"/>
      <x:c r="H121" s="6" t="str"/>
      <x:c r="I121" s="3" t="str">
        <x:v>Confirmar</x:v>
      </x:c>
      <x:c r="J121" s="3" t="str"/>
      <x:c r="K121" s="3" t="str"/>
    </x:row>
    <x:row r="122">
      <x:c r="A122" s="3" t="str"/>
      <x:c r="B122" s="5"/>
      <x:c r="C122" s="5"/>
      <x:c r="D122" s="3" t="str"/>
      <x:c r="E122" s="3" t="str">
        <x:f>IF($D122="","",IFERROR(VLOOKUP($D122,Clinicas!$A$4:$R$205,2,FALSE),"ID nao cadastrado"))</x:f>
      </x:c>
      <x:c r="F122" s="3" t="str">
        <x:f>IF($D122="","",IFERROR(VLOOKUP($D122,Clinicas!$A$4:$R$205,4,FALSE),""))</x:f>
      </x:c>
      <x:c r="G122" s="3" t="str"/>
      <x:c r="H122" s="6" t="str"/>
      <x:c r="I122" s="3" t="str">
        <x:v>Confirmar</x:v>
      </x:c>
      <x:c r="J122" s="3" t="str"/>
      <x:c r="K122" s="3" t="str"/>
    </x:row>
    <x:row r="123">
      <x:c r="A123" s="3" t="str"/>
      <x:c r="B123" s="5"/>
      <x:c r="C123" s="5"/>
      <x:c r="D123" s="3" t="str"/>
      <x:c r="E123" s="3" t="str">
        <x:f>IF($D123="","",IFERROR(VLOOKUP($D123,Clinicas!$A$4:$R$205,2,FALSE),"ID nao cadastrado"))</x:f>
      </x:c>
      <x:c r="F123" s="3" t="str">
        <x:f>IF($D123="","",IFERROR(VLOOKUP($D123,Clinicas!$A$4:$R$205,4,FALSE),""))</x:f>
      </x:c>
      <x:c r="G123" s="3" t="str"/>
      <x:c r="H123" s="6" t="str"/>
      <x:c r="I123" s="3" t="str">
        <x:v>Confirmar</x:v>
      </x:c>
      <x:c r="J123" s="3" t="str"/>
      <x:c r="K123" s="3" t="str"/>
    </x:row>
    <x:row r="124">
      <x:c r="A124" s="3" t="str"/>
      <x:c r="B124" s="5"/>
      <x:c r="C124" s="5"/>
      <x:c r="D124" s="3" t="str"/>
      <x:c r="E124" s="3" t="str">
        <x:f>IF($D124="","",IFERROR(VLOOKUP($D124,Clinicas!$A$4:$R$205,2,FALSE),"ID nao cadastrado"))</x:f>
      </x:c>
      <x:c r="F124" s="3" t="str">
        <x:f>IF($D124="","",IFERROR(VLOOKUP($D124,Clinicas!$A$4:$R$205,4,FALSE),""))</x:f>
      </x:c>
      <x:c r="G124" s="3" t="str"/>
      <x:c r="H124" s="6" t="str"/>
      <x:c r="I124" s="3" t="str">
        <x:v>Confirmar</x:v>
      </x:c>
      <x:c r="J124" s="3" t="str"/>
      <x:c r="K124" s="3" t="str"/>
    </x:row>
    <x:row r="125">
      <x:c r="A125" s="3" t="str"/>
      <x:c r="B125" s="5"/>
      <x:c r="C125" s="5"/>
      <x:c r="D125" s="3" t="str"/>
      <x:c r="E125" s="3" t="str">
        <x:f>IF($D125="","",IFERROR(VLOOKUP($D125,Clinicas!$A$4:$R$205,2,FALSE),"ID nao cadastrado"))</x:f>
      </x:c>
      <x:c r="F125" s="3" t="str">
        <x:f>IF($D125="","",IFERROR(VLOOKUP($D125,Clinicas!$A$4:$R$205,4,FALSE),""))</x:f>
      </x:c>
      <x:c r="G125" s="3" t="str"/>
      <x:c r="H125" s="6" t="str"/>
      <x:c r="I125" s="3" t="str">
        <x:v>Confirmar</x:v>
      </x:c>
      <x:c r="J125" s="3" t="str"/>
      <x:c r="K125" s="3" t="str"/>
    </x:row>
    <x:row r="126">
      <x:c r="A126" s="3" t="str"/>
      <x:c r="B126" s="5"/>
      <x:c r="C126" s="5"/>
      <x:c r="D126" s="3" t="str"/>
      <x:c r="E126" s="3" t="str">
        <x:f>IF($D126="","",IFERROR(VLOOKUP($D126,Clinicas!$A$4:$R$205,2,FALSE),"ID nao cadastrado"))</x:f>
      </x:c>
      <x:c r="F126" s="3" t="str">
        <x:f>IF($D126="","",IFERROR(VLOOKUP($D126,Clinicas!$A$4:$R$205,4,FALSE),""))</x:f>
      </x:c>
      <x:c r="G126" s="3" t="str"/>
      <x:c r="H126" s="6" t="str"/>
      <x:c r="I126" s="3" t="str">
        <x:v>Confirmar</x:v>
      </x:c>
      <x:c r="J126" s="3" t="str"/>
      <x:c r="K126" s="3" t="str"/>
    </x:row>
    <x:row r="127">
      <x:c r="A127" s="3" t="str"/>
      <x:c r="B127" s="5"/>
      <x:c r="C127" s="5"/>
      <x:c r="D127" s="3" t="str"/>
      <x:c r="E127" s="3" t="str">
        <x:f>IF($D127="","",IFERROR(VLOOKUP($D127,Clinicas!$A$4:$R$205,2,FALSE),"ID nao cadastrado"))</x:f>
      </x:c>
      <x:c r="F127" s="3" t="str">
        <x:f>IF($D127="","",IFERROR(VLOOKUP($D127,Clinicas!$A$4:$R$205,4,FALSE),""))</x:f>
      </x:c>
      <x:c r="G127" s="3" t="str"/>
      <x:c r="H127" s="6" t="str"/>
      <x:c r="I127" s="3" t="str">
        <x:v>Confirmar</x:v>
      </x:c>
      <x:c r="J127" s="3" t="str"/>
      <x:c r="K127" s="3" t="str"/>
    </x:row>
    <x:row r="128">
      <x:c r="A128" s="3" t="str"/>
      <x:c r="B128" s="5"/>
      <x:c r="C128" s="5"/>
      <x:c r="D128" s="3" t="str"/>
      <x:c r="E128" s="3" t="str">
        <x:f>IF($D128="","",IFERROR(VLOOKUP($D128,Clinicas!$A$4:$R$205,2,FALSE),"ID nao cadastrado"))</x:f>
      </x:c>
      <x:c r="F128" s="3" t="str">
        <x:f>IF($D128="","",IFERROR(VLOOKUP($D128,Clinicas!$A$4:$R$205,4,FALSE),""))</x:f>
      </x:c>
      <x:c r="G128" s="3" t="str"/>
      <x:c r="H128" s="6" t="str"/>
      <x:c r="I128" s="3" t="str">
        <x:v>Confirmar</x:v>
      </x:c>
      <x:c r="J128" s="3" t="str"/>
      <x:c r="K128" s="3" t="str"/>
    </x:row>
    <x:row r="129">
      <x:c r="A129" s="3" t="str"/>
      <x:c r="B129" s="5"/>
      <x:c r="C129" s="5"/>
      <x:c r="D129" s="3" t="str"/>
      <x:c r="E129" s="3" t="str">
        <x:f>IF($D129="","",IFERROR(VLOOKUP($D129,Clinicas!$A$4:$R$205,2,FALSE),"ID nao cadastrado"))</x:f>
      </x:c>
      <x:c r="F129" s="3" t="str">
        <x:f>IF($D129="","",IFERROR(VLOOKUP($D129,Clinicas!$A$4:$R$205,4,FALSE),""))</x:f>
      </x:c>
      <x:c r="G129" s="3" t="str"/>
      <x:c r="H129" s="6" t="str"/>
      <x:c r="I129" s="3" t="str">
        <x:v>Confirmar</x:v>
      </x:c>
      <x:c r="J129" s="3" t="str"/>
      <x:c r="K129" s="3" t="str"/>
    </x:row>
    <x:row r="130">
      <x:c r="A130" s="3" t="str"/>
      <x:c r="B130" s="5"/>
      <x:c r="C130" s="5"/>
      <x:c r="D130" s="3" t="str"/>
      <x:c r="E130" s="3" t="str">
        <x:f>IF($D130="","",IFERROR(VLOOKUP($D130,Clinicas!$A$4:$R$205,2,FALSE),"ID nao cadastrado"))</x:f>
      </x:c>
      <x:c r="F130" s="3" t="str">
        <x:f>IF($D130="","",IFERROR(VLOOKUP($D130,Clinicas!$A$4:$R$205,4,FALSE),""))</x:f>
      </x:c>
      <x:c r="G130" s="3" t="str"/>
      <x:c r="H130" s="6" t="str"/>
      <x:c r="I130" s="3" t="str">
        <x:v>Confirmar</x:v>
      </x:c>
      <x:c r="J130" s="3" t="str"/>
      <x:c r="K130" s="3" t="str"/>
    </x:row>
    <x:row r="131">
      <x:c r="A131" s="3" t="str"/>
      <x:c r="B131" s="5"/>
      <x:c r="C131" s="5"/>
      <x:c r="D131" s="3" t="str"/>
      <x:c r="E131" s="3" t="str">
        <x:f>IF($D131="","",IFERROR(VLOOKUP($D131,Clinicas!$A$4:$R$205,2,FALSE),"ID nao cadastrado"))</x:f>
      </x:c>
      <x:c r="F131" s="3" t="str">
        <x:f>IF($D131="","",IFERROR(VLOOKUP($D131,Clinicas!$A$4:$R$205,4,FALSE),""))</x:f>
      </x:c>
      <x:c r="G131" s="3" t="str"/>
      <x:c r="H131" s="6" t="str"/>
      <x:c r="I131" s="3" t="str">
        <x:v>Confirmar</x:v>
      </x:c>
      <x:c r="J131" s="3" t="str"/>
      <x:c r="K131" s="3" t="str"/>
    </x:row>
    <x:row r="132">
      <x:c r="A132" s="3" t="str"/>
      <x:c r="B132" s="5"/>
      <x:c r="C132" s="5"/>
      <x:c r="D132" s="3" t="str"/>
      <x:c r="E132" s="3" t="str">
        <x:f>IF($D132="","",IFERROR(VLOOKUP($D132,Clinicas!$A$4:$R$205,2,FALSE),"ID nao cadastrado"))</x:f>
      </x:c>
      <x:c r="F132" s="3" t="str">
        <x:f>IF($D132="","",IFERROR(VLOOKUP($D132,Clinicas!$A$4:$R$205,4,FALSE),""))</x:f>
      </x:c>
      <x:c r="G132" s="3" t="str"/>
      <x:c r="H132" s="6" t="str"/>
      <x:c r="I132" s="3" t="str">
        <x:v>Confirmar</x:v>
      </x:c>
      <x:c r="J132" s="3" t="str"/>
      <x:c r="K132" s="3" t="str"/>
    </x:row>
    <x:row r="133">
      <x:c r="A133" s="3" t="str"/>
      <x:c r="B133" s="5"/>
      <x:c r="C133" s="5"/>
      <x:c r="D133" s="3" t="str"/>
      <x:c r="E133" s="3" t="str">
        <x:f>IF($D133="","",IFERROR(VLOOKUP($D133,Clinicas!$A$4:$R$205,2,FALSE),"ID nao cadastrado"))</x:f>
      </x:c>
      <x:c r="F133" s="3" t="str">
        <x:f>IF($D133="","",IFERROR(VLOOKUP($D133,Clinicas!$A$4:$R$205,4,FALSE),""))</x:f>
      </x:c>
      <x:c r="G133" s="3" t="str"/>
      <x:c r="H133" s="6" t="str"/>
      <x:c r="I133" s="3" t="str">
        <x:v>Confirmar</x:v>
      </x:c>
      <x:c r="J133" s="3" t="str"/>
      <x:c r="K133" s="3" t="str"/>
    </x:row>
    <x:row r="134">
      <x:c r="A134" s="3" t="str"/>
      <x:c r="B134" s="5"/>
      <x:c r="C134" s="5"/>
      <x:c r="D134" s="3" t="str"/>
      <x:c r="E134" s="3" t="str">
        <x:f>IF($D134="","",IFERROR(VLOOKUP($D134,Clinicas!$A$4:$R$205,2,FALSE),"ID nao cadastrado"))</x:f>
      </x:c>
      <x:c r="F134" s="3" t="str">
        <x:f>IF($D134="","",IFERROR(VLOOKUP($D134,Clinicas!$A$4:$R$205,4,FALSE),""))</x:f>
      </x:c>
      <x:c r="G134" s="3" t="str"/>
      <x:c r="H134" s="6" t="str"/>
      <x:c r="I134" s="3" t="str">
        <x:v>Confirmar</x:v>
      </x:c>
      <x:c r="J134" s="3" t="str"/>
      <x:c r="K134" s="3" t="str"/>
    </x:row>
    <x:row r="135">
      <x:c r="A135" s="3" t="str"/>
      <x:c r="B135" s="5"/>
      <x:c r="C135" s="5"/>
      <x:c r="D135" s="3" t="str"/>
      <x:c r="E135" s="3" t="str">
        <x:f>IF($D135="","",IFERROR(VLOOKUP($D135,Clinicas!$A$4:$R$205,2,FALSE),"ID nao cadastrado"))</x:f>
      </x:c>
      <x:c r="F135" s="3" t="str">
        <x:f>IF($D135="","",IFERROR(VLOOKUP($D135,Clinicas!$A$4:$R$205,4,FALSE),""))</x:f>
      </x:c>
      <x:c r="G135" s="3" t="str"/>
      <x:c r="H135" s="6" t="str"/>
      <x:c r="I135" s="3" t="str">
        <x:v>Confirmar</x:v>
      </x:c>
      <x:c r="J135" s="3" t="str"/>
      <x:c r="K135" s="3" t="str"/>
    </x:row>
    <x:row r="136">
      <x:c r="A136" s="3" t="str"/>
      <x:c r="B136" s="5"/>
      <x:c r="C136" s="5"/>
      <x:c r="D136" s="3" t="str"/>
      <x:c r="E136" s="3" t="str">
        <x:f>IF($D136="","",IFERROR(VLOOKUP($D136,Clinicas!$A$4:$R$205,2,FALSE),"ID nao cadastrado"))</x:f>
      </x:c>
      <x:c r="F136" s="3" t="str">
        <x:f>IF($D136="","",IFERROR(VLOOKUP($D136,Clinicas!$A$4:$R$205,4,FALSE),""))</x:f>
      </x:c>
      <x:c r="G136" s="3" t="str"/>
      <x:c r="H136" s="6" t="str"/>
      <x:c r="I136" s="3" t="str">
        <x:v>Confirmar</x:v>
      </x:c>
      <x:c r="J136" s="3" t="str"/>
      <x:c r="K136" s="3" t="str"/>
    </x:row>
    <x:row r="137">
      <x:c r="A137" s="3" t="str"/>
      <x:c r="B137" s="5"/>
      <x:c r="C137" s="5"/>
      <x:c r="D137" s="3" t="str"/>
      <x:c r="E137" s="3" t="str">
        <x:f>IF($D137="","",IFERROR(VLOOKUP($D137,Clinicas!$A$4:$R$205,2,FALSE),"ID nao cadastrado"))</x:f>
      </x:c>
      <x:c r="F137" s="3" t="str">
        <x:f>IF($D137="","",IFERROR(VLOOKUP($D137,Clinicas!$A$4:$R$205,4,FALSE),""))</x:f>
      </x:c>
      <x:c r="G137" s="3" t="str"/>
      <x:c r="H137" s="6" t="str"/>
      <x:c r="I137" s="3" t="str">
        <x:v>Confirmar</x:v>
      </x:c>
      <x:c r="J137" s="3" t="str"/>
      <x:c r="K137" s="3" t="str"/>
    </x:row>
    <x:row r="138">
      <x:c r="A138" s="3" t="str"/>
      <x:c r="B138" s="5"/>
      <x:c r="C138" s="5"/>
      <x:c r="D138" s="3" t="str"/>
      <x:c r="E138" s="3" t="str">
        <x:f>IF($D138="","",IFERROR(VLOOKUP($D138,Clinicas!$A$4:$R$205,2,FALSE),"ID nao cadastrado"))</x:f>
      </x:c>
      <x:c r="F138" s="3" t="str">
        <x:f>IF($D138="","",IFERROR(VLOOKUP($D138,Clinicas!$A$4:$R$205,4,FALSE),""))</x:f>
      </x:c>
      <x:c r="G138" s="3" t="str"/>
      <x:c r="H138" s="6" t="str"/>
      <x:c r="I138" s="3" t="str">
        <x:v>Confirmar</x:v>
      </x:c>
      <x:c r="J138" s="3" t="str"/>
      <x:c r="K138" s="3" t="str"/>
    </x:row>
    <x:row r="139">
      <x:c r="A139" s="3" t="str"/>
      <x:c r="B139" s="5"/>
      <x:c r="C139" s="5"/>
      <x:c r="D139" s="3" t="str"/>
      <x:c r="E139" s="3" t="str">
        <x:f>IF($D139="","",IFERROR(VLOOKUP($D139,Clinicas!$A$4:$R$205,2,FALSE),"ID nao cadastrado"))</x:f>
      </x:c>
      <x:c r="F139" s="3" t="str">
        <x:f>IF($D139="","",IFERROR(VLOOKUP($D139,Clinicas!$A$4:$R$205,4,FALSE),""))</x:f>
      </x:c>
      <x:c r="G139" s="3" t="str"/>
      <x:c r="H139" s="6" t="str"/>
      <x:c r="I139" s="3" t="str">
        <x:v>Confirmar</x:v>
      </x:c>
      <x:c r="J139" s="3" t="str"/>
      <x:c r="K139" s="3" t="str"/>
    </x:row>
    <x:row r="140">
      <x:c r="A140" s="3" t="str"/>
      <x:c r="B140" s="5"/>
      <x:c r="C140" s="5"/>
      <x:c r="D140" s="3" t="str"/>
      <x:c r="E140" s="3" t="str">
        <x:f>IF($D140="","",IFERROR(VLOOKUP($D140,Clinicas!$A$4:$R$205,2,FALSE),"ID nao cadastrado"))</x:f>
      </x:c>
      <x:c r="F140" s="3" t="str">
        <x:f>IF($D140="","",IFERROR(VLOOKUP($D140,Clinicas!$A$4:$R$205,4,FALSE),""))</x:f>
      </x:c>
      <x:c r="G140" s="3" t="str"/>
      <x:c r="H140" s="6" t="str"/>
      <x:c r="I140" s="3" t="str">
        <x:v>Confirmar</x:v>
      </x:c>
      <x:c r="J140" s="3" t="str"/>
      <x:c r="K140" s="3" t="str"/>
    </x:row>
    <x:row r="141">
      <x:c r="A141" s="3" t="str"/>
      <x:c r="B141" s="5"/>
      <x:c r="C141" s="5"/>
      <x:c r="D141" s="3" t="str"/>
      <x:c r="E141" s="3" t="str">
        <x:f>IF($D141="","",IFERROR(VLOOKUP($D141,Clinicas!$A$4:$R$205,2,FALSE),"ID nao cadastrado"))</x:f>
      </x:c>
      <x:c r="F141" s="3" t="str">
        <x:f>IF($D141="","",IFERROR(VLOOKUP($D141,Clinicas!$A$4:$R$205,4,FALSE),""))</x:f>
      </x:c>
      <x:c r="G141" s="3" t="str"/>
      <x:c r="H141" s="6" t="str"/>
      <x:c r="I141" s="3" t="str">
        <x:v>Confirmar</x:v>
      </x:c>
      <x:c r="J141" s="3" t="str"/>
      <x:c r="K141" s="3" t="str"/>
    </x:row>
    <x:row r="142">
      <x:c r="A142" s="3" t="str"/>
      <x:c r="B142" s="5"/>
      <x:c r="C142" s="5"/>
      <x:c r="D142" s="3" t="str"/>
      <x:c r="E142" s="3" t="str">
        <x:f>IF($D142="","",IFERROR(VLOOKUP($D142,Clinicas!$A$4:$R$205,2,FALSE),"ID nao cadastrado"))</x:f>
      </x:c>
      <x:c r="F142" s="3" t="str">
        <x:f>IF($D142="","",IFERROR(VLOOKUP($D142,Clinicas!$A$4:$R$205,4,FALSE),""))</x:f>
      </x:c>
      <x:c r="G142" s="3" t="str"/>
      <x:c r="H142" s="6" t="str"/>
      <x:c r="I142" s="3" t="str">
        <x:v>Confirmar</x:v>
      </x:c>
      <x:c r="J142" s="3" t="str"/>
      <x:c r="K142" s="3" t="str"/>
    </x:row>
    <x:row r="143">
      <x:c r="A143" s="3" t="str"/>
      <x:c r="B143" s="5"/>
      <x:c r="C143" s="5"/>
      <x:c r="D143" s="3" t="str"/>
      <x:c r="E143" s="3" t="str">
        <x:f>IF($D143="","",IFERROR(VLOOKUP($D143,Clinicas!$A$4:$R$205,2,FALSE),"ID nao cadastrado"))</x:f>
      </x:c>
      <x:c r="F143" s="3" t="str">
        <x:f>IF($D143="","",IFERROR(VLOOKUP($D143,Clinicas!$A$4:$R$205,4,FALSE),""))</x:f>
      </x:c>
      <x:c r="G143" s="3" t="str"/>
      <x:c r="H143" s="6" t="str"/>
      <x:c r="I143" s="3" t="str">
        <x:v>Confirmar</x:v>
      </x:c>
      <x:c r="J143" s="3" t="str"/>
      <x:c r="K143" s="3" t="str"/>
    </x:row>
    <x:row r="144">
      <x:c r="A144" s="3" t="str"/>
      <x:c r="B144" s="5"/>
      <x:c r="C144" s="5"/>
      <x:c r="D144" s="3" t="str"/>
      <x:c r="E144" s="3" t="str">
        <x:f>IF($D144="","",IFERROR(VLOOKUP($D144,Clinicas!$A$4:$R$205,2,FALSE),"ID nao cadastrado"))</x:f>
      </x:c>
      <x:c r="F144" s="3" t="str">
        <x:f>IF($D144="","",IFERROR(VLOOKUP($D144,Clinicas!$A$4:$R$205,4,FALSE),""))</x:f>
      </x:c>
      <x:c r="G144" s="3" t="str"/>
      <x:c r="H144" s="6" t="str"/>
      <x:c r="I144" s="3" t="str">
        <x:v>Confirmar</x:v>
      </x:c>
      <x:c r="J144" s="3" t="str"/>
      <x:c r="K144" s="3" t="str"/>
    </x:row>
    <x:row r="145">
      <x:c r="A145" s="3" t="str"/>
      <x:c r="B145" s="5"/>
      <x:c r="C145" s="5"/>
      <x:c r="D145" s="3" t="str"/>
      <x:c r="E145" s="3" t="str">
        <x:f>IF($D145="","",IFERROR(VLOOKUP($D145,Clinicas!$A$4:$R$205,2,FALSE),"ID nao cadastrado"))</x:f>
      </x:c>
      <x:c r="F145" s="3" t="str">
        <x:f>IF($D145="","",IFERROR(VLOOKUP($D145,Clinicas!$A$4:$R$205,4,FALSE),""))</x:f>
      </x:c>
      <x:c r="G145" s="3" t="str"/>
      <x:c r="H145" s="6" t="str"/>
      <x:c r="I145" s="3" t="str">
        <x:v>Confirmar</x:v>
      </x:c>
      <x:c r="J145" s="3" t="str"/>
      <x:c r="K145" s="3" t="str"/>
    </x:row>
    <x:row r="146">
      <x:c r="A146" s="3" t="str"/>
      <x:c r="B146" s="5"/>
      <x:c r="C146" s="5"/>
      <x:c r="D146" s="3" t="str"/>
      <x:c r="E146" s="3" t="str">
        <x:f>IF($D146="","",IFERROR(VLOOKUP($D146,Clinicas!$A$4:$R$205,2,FALSE),"ID nao cadastrado"))</x:f>
      </x:c>
      <x:c r="F146" s="3" t="str">
        <x:f>IF($D146="","",IFERROR(VLOOKUP($D146,Clinicas!$A$4:$R$205,4,FALSE),""))</x:f>
      </x:c>
      <x:c r="G146" s="3" t="str"/>
      <x:c r="H146" s="6" t="str"/>
      <x:c r="I146" s="3" t="str">
        <x:v>Confirmar</x:v>
      </x:c>
      <x:c r="J146" s="3" t="str"/>
      <x:c r="K146" s="3" t="str"/>
    </x:row>
    <x:row r="147">
      <x:c r="A147" s="3" t="str"/>
      <x:c r="B147" s="5"/>
      <x:c r="C147" s="5"/>
      <x:c r="D147" s="3" t="str"/>
      <x:c r="E147" s="3" t="str">
        <x:f>IF($D147="","",IFERROR(VLOOKUP($D147,Clinicas!$A$4:$R$205,2,FALSE),"ID nao cadastrado"))</x:f>
      </x:c>
      <x:c r="F147" s="3" t="str">
        <x:f>IF($D147="","",IFERROR(VLOOKUP($D147,Clinicas!$A$4:$R$205,4,FALSE),""))</x:f>
      </x:c>
      <x:c r="G147" s="3" t="str"/>
      <x:c r="H147" s="6" t="str"/>
      <x:c r="I147" s="3" t="str">
        <x:v>Confirmar</x:v>
      </x:c>
      <x:c r="J147" s="3" t="str"/>
      <x:c r="K147" s="3" t="str"/>
    </x:row>
    <x:row r="148">
      <x:c r="A148" s="3" t="str"/>
      <x:c r="B148" s="5"/>
      <x:c r="C148" s="5"/>
      <x:c r="D148" s="3" t="str"/>
      <x:c r="E148" s="3" t="str">
        <x:f>IF($D148="","",IFERROR(VLOOKUP($D148,Clinicas!$A$4:$R$205,2,FALSE),"ID nao cadastrado"))</x:f>
      </x:c>
      <x:c r="F148" s="3" t="str">
        <x:f>IF($D148="","",IFERROR(VLOOKUP($D148,Clinicas!$A$4:$R$205,4,FALSE),""))</x:f>
      </x:c>
      <x:c r="G148" s="3" t="str"/>
      <x:c r="H148" s="6" t="str"/>
      <x:c r="I148" s="3" t="str">
        <x:v>Confirmar</x:v>
      </x:c>
      <x:c r="J148" s="3" t="str"/>
      <x:c r="K148" s="3" t="str"/>
    </x:row>
    <x:row r="149">
      <x:c r="A149" s="3" t="str"/>
      <x:c r="B149" s="5"/>
      <x:c r="C149" s="5"/>
      <x:c r="D149" s="3" t="str"/>
      <x:c r="E149" s="3" t="str">
        <x:f>IF($D149="","",IFERROR(VLOOKUP($D149,Clinicas!$A$4:$R$205,2,FALSE),"ID nao cadastrado"))</x:f>
      </x:c>
      <x:c r="F149" s="3" t="str">
        <x:f>IF($D149="","",IFERROR(VLOOKUP($D149,Clinicas!$A$4:$R$205,4,FALSE),""))</x:f>
      </x:c>
      <x:c r="G149" s="3" t="str"/>
      <x:c r="H149" s="6" t="str"/>
      <x:c r="I149" s="3" t="str">
        <x:v>Confirmar</x:v>
      </x:c>
      <x:c r="J149" s="3" t="str"/>
      <x:c r="K149" s="3" t="str"/>
    </x:row>
    <x:row r="150">
      <x:c r="A150" s="3" t="str"/>
      <x:c r="B150" s="5"/>
      <x:c r="C150" s="5"/>
      <x:c r="D150" s="3" t="str"/>
      <x:c r="E150" s="3" t="str">
        <x:f>IF($D150="","",IFERROR(VLOOKUP($D150,Clinicas!$A$4:$R$205,2,FALSE),"ID nao cadastrado"))</x:f>
      </x:c>
      <x:c r="F150" s="3" t="str">
        <x:f>IF($D150="","",IFERROR(VLOOKUP($D150,Clinicas!$A$4:$R$205,4,FALSE),""))</x:f>
      </x:c>
      <x:c r="G150" s="3" t="str"/>
      <x:c r="H150" s="6" t="str"/>
      <x:c r="I150" s="3" t="str">
        <x:v>Confirmar</x:v>
      </x:c>
      <x:c r="J150" s="3" t="str"/>
      <x:c r="K150" s="3" t="str"/>
    </x:row>
    <x:row r="151">
      <x:c r="A151" s="3" t="str"/>
      <x:c r="B151" s="5"/>
      <x:c r="C151" s="5"/>
      <x:c r="D151" s="3" t="str"/>
      <x:c r="E151" s="3" t="str">
        <x:f>IF($D151="","",IFERROR(VLOOKUP($D151,Clinicas!$A$4:$R$205,2,FALSE),"ID nao cadastrado"))</x:f>
      </x:c>
      <x:c r="F151" s="3" t="str">
        <x:f>IF($D151="","",IFERROR(VLOOKUP($D151,Clinicas!$A$4:$R$205,4,FALSE),""))</x:f>
      </x:c>
      <x:c r="G151" s="3" t="str"/>
      <x:c r="H151" s="6" t="str"/>
      <x:c r="I151" s="3" t="str">
        <x:v>Confirmar</x:v>
      </x:c>
      <x:c r="J151" s="3" t="str"/>
      <x:c r="K151" s="3" t="str"/>
    </x:row>
    <x:row r="152">
      <x:c r="A152" s="3" t="str"/>
      <x:c r="B152" s="5"/>
      <x:c r="C152" s="5"/>
      <x:c r="D152" s="3" t="str"/>
      <x:c r="E152" s="3" t="str">
        <x:f>IF($D152="","",IFERROR(VLOOKUP($D152,Clinicas!$A$4:$R$205,2,FALSE),"ID nao cadastrado"))</x:f>
      </x:c>
      <x:c r="F152" s="3" t="str">
        <x:f>IF($D152="","",IFERROR(VLOOKUP($D152,Clinicas!$A$4:$R$205,4,FALSE),""))</x:f>
      </x:c>
      <x:c r="G152" s="3" t="str"/>
      <x:c r="H152" s="6" t="str"/>
      <x:c r="I152" s="3" t="str">
        <x:v>Confirmar</x:v>
      </x:c>
      <x:c r="J152" s="3" t="str"/>
      <x:c r="K152" s="3" t="str"/>
    </x:row>
    <x:row r="153">
      <x:c r="A153" s="3" t="str"/>
      <x:c r="B153" s="5"/>
      <x:c r="C153" s="5"/>
      <x:c r="D153" s="3" t="str"/>
      <x:c r="E153" s="3" t="str">
        <x:f>IF($D153="","",IFERROR(VLOOKUP($D153,Clinicas!$A$4:$R$205,2,FALSE),"ID nao cadastrado"))</x:f>
      </x:c>
      <x:c r="F153" s="3" t="str">
        <x:f>IF($D153="","",IFERROR(VLOOKUP($D153,Clinicas!$A$4:$R$205,4,FALSE),""))</x:f>
      </x:c>
      <x:c r="G153" s="3" t="str"/>
      <x:c r="H153" s="6" t="str"/>
      <x:c r="I153" s="3" t="str">
        <x:v>Confirmar</x:v>
      </x:c>
      <x:c r="J153" s="3" t="str"/>
      <x:c r="K153" s="3" t="str"/>
    </x:row>
    <x:row r="154">
      <x:c r="A154" s="3" t="str"/>
      <x:c r="B154" s="5"/>
      <x:c r="C154" s="5"/>
      <x:c r="D154" s="3" t="str"/>
      <x:c r="E154" s="3" t="str">
        <x:f>IF($D154="","",IFERROR(VLOOKUP($D154,Clinicas!$A$4:$R$205,2,FALSE),"ID nao cadastrado"))</x:f>
      </x:c>
      <x:c r="F154" s="3" t="str">
        <x:f>IF($D154="","",IFERROR(VLOOKUP($D154,Clinicas!$A$4:$R$205,4,FALSE),""))</x:f>
      </x:c>
      <x:c r="G154" s="3" t="str"/>
      <x:c r="H154" s="6" t="str"/>
      <x:c r="I154" s="3" t="str">
        <x:v>Confirmar</x:v>
      </x:c>
      <x:c r="J154" s="3" t="str"/>
      <x:c r="K154" s="3" t="str"/>
    </x:row>
    <x:row r="155">
      <x:c r="A155" s="3" t="str"/>
      <x:c r="B155" s="5"/>
      <x:c r="C155" s="5"/>
      <x:c r="D155" s="3" t="str"/>
      <x:c r="E155" s="3" t="str">
        <x:f>IF($D155="","",IFERROR(VLOOKUP($D155,Clinicas!$A$4:$R$205,2,FALSE),"ID nao cadastrado"))</x:f>
      </x:c>
      <x:c r="F155" s="3" t="str">
        <x:f>IF($D155="","",IFERROR(VLOOKUP($D155,Clinicas!$A$4:$R$205,4,FALSE),""))</x:f>
      </x:c>
      <x:c r="G155" s="3" t="str"/>
      <x:c r="H155" s="6" t="str"/>
      <x:c r="I155" s="3" t="str">
        <x:v>Confirmar</x:v>
      </x:c>
      <x:c r="J155" s="3" t="str"/>
      <x:c r="K155" s="3" t="str"/>
    </x:row>
    <x:row r="156">
      <x:c r="A156" s="3" t="str"/>
      <x:c r="B156" s="5"/>
      <x:c r="C156" s="5"/>
      <x:c r="D156" s="3" t="str"/>
      <x:c r="E156" s="3" t="str">
        <x:f>IF($D156="","",IFERROR(VLOOKUP($D156,Clinicas!$A$4:$R$205,2,FALSE),"ID nao cadastrado"))</x:f>
      </x:c>
      <x:c r="F156" s="3" t="str">
        <x:f>IF($D156="","",IFERROR(VLOOKUP($D156,Clinicas!$A$4:$R$205,4,FALSE),""))</x:f>
      </x:c>
      <x:c r="G156" s="3" t="str"/>
      <x:c r="H156" s="6" t="str"/>
      <x:c r="I156" s="3" t="str">
        <x:v>Confirmar</x:v>
      </x:c>
      <x:c r="J156" s="3" t="str"/>
      <x:c r="K156" s="3" t="str"/>
    </x:row>
    <x:row r="157">
      <x:c r="A157" s="3" t="str"/>
      <x:c r="B157" s="5"/>
      <x:c r="C157" s="5"/>
      <x:c r="D157" s="3" t="str"/>
      <x:c r="E157" s="3" t="str">
        <x:f>IF($D157="","",IFERROR(VLOOKUP($D157,Clinicas!$A$4:$R$205,2,FALSE),"ID nao cadastrado"))</x:f>
      </x:c>
      <x:c r="F157" s="3" t="str">
        <x:f>IF($D157="","",IFERROR(VLOOKUP($D157,Clinicas!$A$4:$R$205,4,FALSE),""))</x:f>
      </x:c>
      <x:c r="G157" s="3" t="str"/>
      <x:c r="H157" s="6" t="str"/>
      <x:c r="I157" s="3" t="str">
        <x:v>Confirmar</x:v>
      </x:c>
      <x:c r="J157" s="3" t="str"/>
      <x:c r="K157" s="3" t="str"/>
    </x:row>
    <x:row r="158">
      <x:c r="A158" s="3" t="str"/>
      <x:c r="B158" s="5"/>
      <x:c r="C158" s="5"/>
      <x:c r="D158" s="3" t="str"/>
      <x:c r="E158" s="3" t="str">
        <x:f>IF($D158="","",IFERROR(VLOOKUP($D158,Clinicas!$A$4:$R$205,2,FALSE),"ID nao cadastrado"))</x:f>
      </x:c>
      <x:c r="F158" s="3" t="str">
        <x:f>IF($D158="","",IFERROR(VLOOKUP($D158,Clinicas!$A$4:$R$205,4,FALSE),""))</x:f>
      </x:c>
      <x:c r="G158" s="3" t="str"/>
      <x:c r="H158" s="6" t="str"/>
      <x:c r="I158" s="3" t="str">
        <x:v>Confirmar</x:v>
      </x:c>
      <x:c r="J158" s="3" t="str"/>
      <x:c r="K158" s="3" t="str"/>
    </x:row>
    <x:row r="159">
      <x:c r="A159" s="3" t="str"/>
      <x:c r="B159" s="5"/>
      <x:c r="C159" s="5"/>
      <x:c r="D159" s="3" t="str"/>
      <x:c r="E159" s="3" t="str">
        <x:f>IF($D159="","",IFERROR(VLOOKUP($D159,Clinicas!$A$4:$R$205,2,FALSE),"ID nao cadastrado"))</x:f>
      </x:c>
      <x:c r="F159" s="3" t="str">
        <x:f>IF($D159="","",IFERROR(VLOOKUP($D159,Clinicas!$A$4:$R$205,4,FALSE),""))</x:f>
      </x:c>
      <x:c r="G159" s="3" t="str"/>
      <x:c r="H159" s="6" t="str"/>
      <x:c r="I159" s="3" t="str">
        <x:v>Confirmar</x:v>
      </x:c>
      <x:c r="J159" s="3" t="str"/>
      <x:c r="K159" s="3" t="str"/>
    </x:row>
    <x:row r="160">
      <x:c r="A160" s="3" t="str"/>
      <x:c r="B160" s="5"/>
      <x:c r="C160" s="5"/>
      <x:c r="D160" s="3" t="str"/>
      <x:c r="E160" s="3" t="str">
        <x:f>IF($D160="","",IFERROR(VLOOKUP($D160,Clinicas!$A$4:$R$205,2,FALSE),"ID nao cadastrado"))</x:f>
      </x:c>
      <x:c r="F160" s="3" t="str">
        <x:f>IF($D160="","",IFERROR(VLOOKUP($D160,Clinicas!$A$4:$R$205,4,FALSE),""))</x:f>
      </x:c>
      <x:c r="G160" s="3" t="str"/>
      <x:c r="H160" s="6" t="str"/>
      <x:c r="I160" s="3" t="str">
        <x:v>Confirmar</x:v>
      </x:c>
      <x:c r="J160" s="3" t="str"/>
      <x:c r="K160" s="3" t="str"/>
    </x:row>
    <x:row r="161">
      <x:c r="A161" s="3" t="str"/>
      <x:c r="B161" s="5"/>
      <x:c r="C161" s="5"/>
      <x:c r="D161" s="3" t="str"/>
      <x:c r="E161" s="3" t="str">
        <x:f>IF($D161="","",IFERROR(VLOOKUP($D161,Clinicas!$A$4:$R$205,2,FALSE),"ID nao cadastrado"))</x:f>
      </x:c>
      <x:c r="F161" s="3" t="str">
        <x:f>IF($D161="","",IFERROR(VLOOKUP($D161,Clinicas!$A$4:$R$205,4,FALSE),""))</x:f>
      </x:c>
      <x:c r="G161" s="3" t="str"/>
      <x:c r="H161" s="6" t="str"/>
      <x:c r="I161" s="3" t="str">
        <x:v>Confirmar</x:v>
      </x:c>
      <x:c r="J161" s="3" t="str"/>
      <x:c r="K161" s="3" t="str"/>
    </x:row>
    <x:row r="162">
      <x:c r="A162" s="3" t="str"/>
      <x:c r="B162" s="5"/>
      <x:c r="C162" s="5"/>
      <x:c r="D162" s="3" t="str"/>
      <x:c r="E162" s="3" t="str">
        <x:f>IF($D162="","",IFERROR(VLOOKUP($D162,Clinicas!$A$4:$R$205,2,FALSE),"ID nao cadastrado"))</x:f>
      </x:c>
      <x:c r="F162" s="3" t="str">
        <x:f>IF($D162="","",IFERROR(VLOOKUP($D162,Clinicas!$A$4:$R$205,4,FALSE),""))</x:f>
      </x:c>
      <x:c r="G162" s="3" t="str"/>
      <x:c r="H162" s="6" t="str"/>
      <x:c r="I162" s="3" t="str">
        <x:v>Confirmar</x:v>
      </x:c>
      <x:c r="J162" s="3" t="str"/>
      <x:c r="K162" s="3" t="str"/>
    </x:row>
    <x:row r="163">
      <x:c r="A163" s="3" t="str"/>
      <x:c r="B163" s="5"/>
      <x:c r="C163" s="5"/>
      <x:c r="D163" s="3" t="str"/>
      <x:c r="E163" s="3" t="str">
        <x:f>IF($D163="","",IFERROR(VLOOKUP($D163,Clinicas!$A$4:$R$205,2,FALSE),"ID nao cadastrado"))</x:f>
      </x:c>
      <x:c r="F163" s="3" t="str">
        <x:f>IF($D163="","",IFERROR(VLOOKUP($D163,Clinicas!$A$4:$R$205,4,FALSE),""))</x:f>
      </x:c>
      <x:c r="G163" s="3" t="str"/>
      <x:c r="H163" s="6" t="str"/>
      <x:c r="I163" s="3" t="str">
        <x:v>Confirmar</x:v>
      </x:c>
      <x:c r="J163" s="3" t="str"/>
      <x:c r="K163" s="3" t="str"/>
    </x:row>
    <x:row r="164">
      <x:c r="A164" s="3" t="str"/>
      <x:c r="B164" s="5"/>
      <x:c r="C164" s="5"/>
      <x:c r="D164" s="3" t="str"/>
      <x:c r="E164" s="3" t="str">
        <x:f>IF($D164="","",IFERROR(VLOOKUP($D164,Clinicas!$A$4:$R$205,2,FALSE),"ID nao cadastrado"))</x:f>
      </x:c>
      <x:c r="F164" s="3" t="str">
        <x:f>IF($D164="","",IFERROR(VLOOKUP($D164,Clinicas!$A$4:$R$205,4,FALSE),""))</x:f>
      </x:c>
      <x:c r="G164" s="3" t="str"/>
      <x:c r="H164" s="6" t="str"/>
      <x:c r="I164" s="3" t="str">
        <x:v>Confirmar</x:v>
      </x:c>
      <x:c r="J164" s="3" t="str"/>
      <x:c r="K164" s="3" t="str"/>
    </x:row>
    <x:row r="165">
      <x:c r="A165" s="3" t="str"/>
      <x:c r="B165" s="5"/>
      <x:c r="C165" s="5"/>
      <x:c r="D165" s="3" t="str"/>
      <x:c r="E165" s="3" t="str">
        <x:f>IF($D165="","",IFERROR(VLOOKUP($D165,Clinicas!$A$4:$R$205,2,FALSE),"ID nao cadastrado"))</x:f>
      </x:c>
      <x:c r="F165" s="3" t="str">
        <x:f>IF($D165="","",IFERROR(VLOOKUP($D165,Clinicas!$A$4:$R$205,4,FALSE),""))</x:f>
      </x:c>
      <x:c r="G165" s="3" t="str"/>
      <x:c r="H165" s="6" t="str"/>
      <x:c r="I165" s="3" t="str">
        <x:v>Confirmar</x:v>
      </x:c>
      <x:c r="J165" s="3" t="str"/>
      <x:c r="K165" s="3" t="str"/>
    </x:row>
    <x:row r="166">
      <x:c r="A166" s="3" t="str"/>
      <x:c r="B166" s="5"/>
      <x:c r="C166" s="5"/>
      <x:c r="D166" s="3" t="str"/>
      <x:c r="E166" s="3" t="str">
        <x:f>IF($D166="","",IFERROR(VLOOKUP($D166,Clinicas!$A$4:$R$205,2,FALSE),"ID nao cadastrado"))</x:f>
      </x:c>
      <x:c r="F166" s="3" t="str">
        <x:f>IF($D166="","",IFERROR(VLOOKUP($D166,Clinicas!$A$4:$R$205,4,FALSE),""))</x:f>
      </x:c>
      <x:c r="G166" s="3" t="str"/>
      <x:c r="H166" s="6" t="str"/>
      <x:c r="I166" s="3" t="str">
        <x:v>Confirmar</x:v>
      </x:c>
      <x:c r="J166" s="3" t="str"/>
      <x:c r="K166" s="3" t="str"/>
    </x:row>
    <x:row r="167">
      <x:c r="A167" s="3" t="str"/>
      <x:c r="B167" s="5"/>
      <x:c r="C167" s="5"/>
      <x:c r="D167" s="3" t="str"/>
      <x:c r="E167" s="3" t="str">
        <x:f>IF($D167="","",IFERROR(VLOOKUP($D167,Clinicas!$A$4:$R$205,2,FALSE),"ID nao cadastrado"))</x:f>
      </x:c>
      <x:c r="F167" s="3" t="str">
        <x:f>IF($D167="","",IFERROR(VLOOKUP($D167,Clinicas!$A$4:$R$205,4,FALSE),""))</x:f>
      </x:c>
      <x:c r="G167" s="3" t="str"/>
      <x:c r="H167" s="6" t="str"/>
      <x:c r="I167" s="3" t="str">
        <x:v>Confirmar</x:v>
      </x:c>
      <x:c r="J167" s="3" t="str"/>
      <x:c r="K167" s="3" t="str"/>
    </x:row>
    <x:row r="168">
      <x:c r="A168" s="3" t="str"/>
      <x:c r="B168" s="5"/>
      <x:c r="C168" s="5"/>
      <x:c r="D168" s="3" t="str"/>
      <x:c r="E168" s="3" t="str">
        <x:f>IF($D168="","",IFERROR(VLOOKUP($D168,Clinicas!$A$4:$R$205,2,FALSE),"ID nao cadastrado"))</x:f>
      </x:c>
      <x:c r="F168" s="3" t="str">
        <x:f>IF($D168="","",IFERROR(VLOOKUP($D168,Clinicas!$A$4:$R$205,4,FALSE),""))</x:f>
      </x:c>
      <x:c r="G168" s="3" t="str"/>
      <x:c r="H168" s="6" t="str"/>
      <x:c r="I168" s="3" t="str">
        <x:v>Confirmar</x:v>
      </x:c>
      <x:c r="J168" s="3" t="str"/>
      <x:c r="K168" s="3" t="str"/>
    </x:row>
    <x:row r="169">
      <x:c r="A169" s="3" t="str"/>
      <x:c r="B169" s="5"/>
      <x:c r="C169" s="5"/>
      <x:c r="D169" s="3" t="str"/>
      <x:c r="E169" s="3" t="str">
        <x:f>IF($D169="","",IFERROR(VLOOKUP($D169,Clinicas!$A$4:$R$205,2,FALSE),"ID nao cadastrado"))</x:f>
      </x:c>
      <x:c r="F169" s="3" t="str">
        <x:f>IF($D169="","",IFERROR(VLOOKUP($D169,Clinicas!$A$4:$R$205,4,FALSE),""))</x:f>
      </x:c>
      <x:c r="G169" s="3" t="str"/>
      <x:c r="H169" s="6" t="str"/>
      <x:c r="I169" s="3" t="str">
        <x:v>Confirmar</x:v>
      </x:c>
      <x:c r="J169" s="3" t="str"/>
      <x:c r="K169" s="3" t="str"/>
    </x:row>
    <x:row r="170">
      <x:c r="A170" s="3" t="str"/>
      <x:c r="B170" s="5"/>
      <x:c r="C170" s="5"/>
      <x:c r="D170" s="3" t="str"/>
      <x:c r="E170" s="3" t="str">
        <x:f>IF($D170="","",IFERROR(VLOOKUP($D170,Clinicas!$A$4:$R$205,2,FALSE),"ID nao cadastrado"))</x:f>
      </x:c>
      <x:c r="F170" s="3" t="str">
        <x:f>IF($D170="","",IFERROR(VLOOKUP($D170,Clinicas!$A$4:$R$205,4,FALSE),""))</x:f>
      </x:c>
      <x:c r="G170" s="3" t="str"/>
      <x:c r="H170" s="6" t="str"/>
      <x:c r="I170" s="3" t="str">
        <x:v>Confirmar</x:v>
      </x:c>
      <x:c r="J170" s="3" t="str"/>
      <x:c r="K170" s="3" t="str"/>
    </x:row>
    <x:row r="171">
      <x:c r="A171" s="3" t="str"/>
      <x:c r="B171" s="5"/>
      <x:c r="C171" s="5"/>
      <x:c r="D171" s="3" t="str"/>
      <x:c r="E171" s="3" t="str">
        <x:f>IF($D171="","",IFERROR(VLOOKUP($D171,Clinicas!$A$4:$R$205,2,FALSE),"ID nao cadastrado"))</x:f>
      </x:c>
      <x:c r="F171" s="3" t="str">
        <x:f>IF($D171="","",IFERROR(VLOOKUP($D171,Clinicas!$A$4:$R$205,4,FALSE),""))</x:f>
      </x:c>
      <x:c r="G171" s="3" t="str"/>
      <x:c r="H171" s="6" t="str"/>
      <x:c r="I171" s="3" t="str">
        <x:v>Confirmar</x:v>
      </x:c>
      <x:c r="J171" s="3" t="str"/>
      <x:c r="K171" s="3" t="str"/>
    </x:row>
    <x:row r="172">
      <x:c r="A172" s="3" t="str"/>
      <x:c r="B172" s="5"/>
      <x:c r="C172" s="5"/>
      <x:c r="D172" s="3" t="str"/>
      <x:c r="E172" s="3" t="str">
        <x:f>IF($D172="","",IFERROR(VLOOKUP($D172,Clinicas!$A$4:$R$205,2,FALSE),"ID nao cadastrado"))</x:f>
      </x:c>
      <x:c r="F172" s="3" t="str">
        <x:f>IF($D172="","",IFERROR(VLOOKUP($D172,Clinicas!$A$4:$R$205,4,FALSE),""))</x:f>
      </x:c>
      <x:c r="G172" s="3" t="str"/>
      <x:c r="H172" s="6" t="str"/>
      <x:c r="I172" s="3" t="str">
        <x:v>Confirmar</x:v>
      </x:c>
      <x:c r="J172" s="3" t="str"/>
      <x:c r="K172" s="3" t="str"/>
    </x:row>
    <x:row r="173">
      <x:c r="A173" s="3" t="str"/>
      <x:c r="B173" s="5"/>
      <x:c r="C173" s="5"/>
      <x:c r="D173" s="3" t="str"/>
      <x:c r="E173" s="3" t="str">
        <x:f>IF($D173="","",IFERROR(VLOOKUP($D173,Clinicas!$A$4:$R$205,2,FALSE),"ID nao cadastrado"))</x:f>
      </x:c>
      <x:c r="F173" s="3" t="str">
        <x:f>IF($D173="","",IFERROR(VLOOKUP($D173,Clinicas!$A$4:$R$205,4,FALSE),""))</x:f>
      </x:c>
      <x:c r="G173" s="3" t="str"/>
      <x:c r="H173" s="6" t="str"/>
      <x:c r="I173" s="3" t="str">
        <x:v>Confirmar</x:v>
      </x:c>
      <x:c r="J173" s="3" t="str"/>
      <x:c r="K173" s="3" t="str"/>
    </x:row>
    <x:row r="174">
      <x:c r="A174" s="3" t="str"/>
      <x:c r="B174" s="5"/>
      <x:c r="C174" s="5"/>
      <x:c r="D174" s="3" t="str"/>
      <x:c r="E174" s="3" t="str">
        <x:f>IF($D174="","",IFERROR(VLOOKUP($D174,Clinicas!$A$4:$R$205,2,FALSE),"ID nao cadastrado"))</x:f>
      </x:c>
      <x:c r="F174" s="3" t="str">
        <x:f>IF($D174="","",IFERROR(VLOOKUP($D174,Clinicas!$A$4:$R$205,4,FALSE),""))</x:f>
      </x:c>
      <x:c r="G174" s="3" t="str"/>
      <x:c r="H174" s="6" t="str"/>
      <x:c r="I174" s="3" t="str">
        <x:v>Confirmar</x:v>
      </x:c>
      <x:c r="J174" s="3" t="str"/>
      <x:c r="K174" s="3" t="str"/>
    </x:row>
    <x:row r="175">
      <x:c r="A175" s="3" t="str"/>
      <x:c r="B175" s="5"/>
      <x:c r="C175" s="5"/>
      <x:c r="D175" s="3" t="str"/>
      <x:c r="E175" s="3" t="str">
        <x:f>IF($D175="","",IFERROR(VLOOKUP($D175,Clinicas!$A$4:$R$205,2,FALSE),"ID nao cadastrado"))</x:f>
      </x:c>
      <x:c r="F175" s="3" t="str">
        <x:f>IF($D175="","",IFERROR(VLOOKUP($D175,Clinicas!$A$4:$R$205,4,FALSE),""))</x:f>
      </x:c>
      <x:c r="G175" s="3" t="str"/>
      <x:c r="H175" s="6" t="str"/>
      <x:c r="I175" s="3" t="str">
        <x:v>Confirmar</x:v>
      </x:c>
      <x:c r="J175" s="3" t="str"/>
      <x:c r="K175" s="3" t="str"/>
    </x:row>
    <x:row r="176">
      <x:c r="A176" s="3" t="str"/>
      <x:c r="B176" s="5"/>
      <x:c r="C176" s="5"/>
      <x:c r="D176" s="3" t="str"/>
      <x:c r="E176" s="3" t="str">
        <x:f>IF($D176="","",IFERROR(VLOOKUP($D176,Clinicas!$A$4:$R$205,2,FALSE),"ID nao cadastrado"))</x:f>
      </x:c>
      <x:c r="F176" s="3" t="str">
        <x:f>IF($D176="","",IFERROR(VLOOKUP($D176,Clinicas!$A$4:$R$205,4,FALSE),""))</x:f>
      </x:c>
      <x:c r="G176" s="3" t="str"/>
      <x:c r="H176" s="6" t="str"/>
      <x:c r="I176" s="3" t="str">
        <x:v>Confirmar</x:v>
      </x:c>
      <x:c r="J176" s="3" t="str"/>
      <x:c r="K176" s="3" t="str"/>
    </x:row>
    <x:row r="177">
      <x:c r="A177" s="3" t="str"/>
      <x:c r="B177" s="5"/>
      <x:c r="C177" s="5"/>
      <x:c r="D177" s="3" t="str"/>
      <x:c r="E177" s="3" t="str">
        <x:f>IF($D177="","",IFERROR(VLOOKUP($D177,Clinicas!$A$4:$R$205,2,FALSE),"ID nao cadastrado"))</x:f>
      </x:c>
      <x:c r="F177" s="3" t="str">
        <x:f>IF($D177="","",IFERROR(VLOOKUP($D177,Clinicas!$A$4:$R$205,4,FALSE),""))</x:f>
      </x:c>
      <x:c r="G177" s="3" t="str"/>
      <x:c r="H177" s="6" t="str"/>
      <x:c r="I177" s="3" t="str">
        <x:v>Confirmar</x:v>
      </x:c>
      <x:c r="J177" s="3" t="str"/>
      <x:c r="K177" s="3" t="str"/>
    </x:row>
    <x:row r="178">
      <x:c r="A178" s="3" t="str"/>
      <x:c r="B178" s="5"/>
      <x:c r="C178" s="5"/>
      <x:c r="D178" s="3" t="str"/>
      <x:c r="E178" s="3" t="str">
        <x:f>IF($D178="","",IFERROR(VLOOKUP($D178,Clinicas!$A$4:$R$205,2,FALSE),"ID nao cadastrado"))</x:f>
      </x:c>
      <x:c r="F178" s="3" t="str">
        <x:f>IF($D178="","",IFERROR(VLOOKUP($D178,Clinicas!$A$4:$R$205,4,FALSE),""))</x:f>
      </x:c>
      <x:c r="G178" s="3" t="str"/>
      <x:c r="H178" s="6" t="str"/>
      <x:c r="I178" s="3" t="str">
        <x:v>Confirmar</x:v>
      </x:c>
      <x:c r="J178" s="3" t="str"/>
      <x:c r="K178" s="3" t="str"/>
    </x:row>
    <x:row r="179">
      <x:c r="A179" s="3" t="str"/>
      <x:c r="B179" s="5"/>
      <x:c r="C179" s="5"/>
      <x:c r="D179" s="3" t="str"/>
      <x:c r="E179" s="3" t="str">
        <x:f>IF($D179="","",IFERROR(VLOOKUP($D179,Clinicas!$A$4:$R$205,2,FALSE),"ID nao cadastrado"))</x:f>
      </x:c>
      <x:c r="F179" s="3" t="str">
        <x:f>IF($D179="","",IFERROR(VLOOKUP($D179,Clinicas!$A$4:$R$205,4,FALSE),""))</x:f>
      </x:c>
      <x:c r="G179" s="3" t="str"/>
      <x:c r="H179" s="6" t="str"/>
      <x:c r="I179" s="3" t="str">
        <x:v>Confirmar</x:v>
      </x:c>
      <x:c r="J179" s="3" t="str"/>
      <x:c r="K179" s="3" t="str"/>
    </x:row>
    <x:row r="180">
      <x:c r="A180" s="3" t="str"/>
      <x:c r="B180" s="5"/>
      <x:c r="C180" s="5"/>
      <x:c r="D180" s="3" t="str"/>
      <x:c r="E180" s="3" t="str">
        <x:f>IF($D180="","",IFERROR(VLOOKUP($D180,Clinicas!$A$4:$R$205,2,FALSE),"ID nao cadastrado"))</x:f>
      </x:c>
      <x:c r="F180" s="3" t="str">
        <x:f>IF($D180="","",IFERROR(VLOOKUP($D180,Clinicas!$A$4:$R$205,4,FALSE),""))</x:f>
      </x:c>
      <x:c r="G180" s="3" t="str"/>
      <x:c r="H180" s="6" t="str"/>
      <x:c r="I180" s="3" t="str">
        <x:v>Confirmar</x:v>
      </x:c>
      <x:c r="J180" s="3" t="str"/>
      <x:c r="K180" s="3" t="str"/>
    </x:row>
    <x:row r="181">
      <x:c r="A181" s="3" t="str"/>
      <x:c r="B181" s="5"/>
      <x:c r="C181" s="5"/>
      <x:c r="D181" s="3" t="str"/>
      <x:c r="E181" s="3" t="str">
        <x:f>IF($D181="","",IFERROR(VLOOKUP($D181,Clinicas!$A$4:$R$205,2,FALSE),"ID nao cadastrado"))</x:f>
      </x:c>
      <x:c r="F181" s="3" t="str">
        <x:f>IF($D181="","",IFERROR(VLOOKUP($D181,Clinicas!$A$4:$R$205,4,FALSE),""))</x:f>
      </x:c>
      <x:c r="G181" s="3" t="str"/>
      <x:c r="H181" s="6" t="str"/>
      <x:c r="I181" s="3" t="str">
        <x:v>Confirmar</x:v>
      </x:c>
      <x:c r="J181" s="3" t="str"/>
      <x:c r="K181" s="3" t="str"/>
    </x:row>
    <x:row r="182">
      <x:c r="A182" s="3" t="str"/>
      <x:c r="B182" s="5"/>
      <x:c r="C182" s="5"/>
      <x:c r="D182" s="3" t="str"/>
      <x:c r="E182" s="3" t="str">
        <x:f>IF($D182="","",IFERROR(VLOOKUP($D182,Clinicas!$A$4:$R$205,2,FALSE),"ID nao cadastrado"))</x:f>
      </x:c>
      <x:c r="F182" s="3" t="str">
        <x:f>IF($D182="","",IFERROR(VLOOKUP($D182,Clinicas!$A$4:$R$205,4,FALSE),""))</x:f>
      </x:c>
      <x:c r="G182" s="3" t="str"/>
      <x:c r="H182" s="6" t="str"/>
      <x:c r="I182" s="3" t="str">
        <x:v>Confirmar</x:v>
      </x:c>
      <x:c r="J182" s="3" t="str"/>
      <x:c r="K182" s="3" t="str"/>
    </x:row>
    <x:row r="183">
      <x:c r="A183" s="3" t="str"/>
      <x:c r="B183" s="5"/>
      <x:c r="C183" s="5"/>
      <x:c r="D183" s="3" t="str"/>
      <x:c r="E183" s="3" t="str">
        <x:f>IF($D183="","",IFERROR(VLOOKUP($D183,Clinicas!$A$4:$R$205,2,FALSE),"ID nao cadastrado"))</x:f>
      </x:c>
      <x:c r="F183" s="3" t="str">
        <x:f>IF($D183="","",IFERROR(VLOOKUP($D183,Clinicas!$A$4:$R$205,4,FALSE),""))</x:f>
      </x:c>
      <x:c r="G183" s="3" t="str"/>
      <x:c r="H183" s="6" t="str"/>
      <x:c r="I183" s="3" t="str">
        <x:v>Confirmar</x:v>
      </x:c>
      <x:c r="J183" s="3" t="str"/>
      <x:c r="K183" s="3" t="str"/>
    </x:row>
    <x:row r="184">
      <x:c r="A184" s="3" t="str"/>
      <x:c r="B184" s="5"/>
      <x:c r="C184" s="5"/>
      <x:c r="D184" s="3" t="str"/>
      <x:c r="E184" s="3" t="str">
        <x:f>IF($D184="","",IFERROR(VLOOKUP($D184,Clinicas!$A$4:$R$205,2,FALSE),"ID nao cadastrado"))</x:f>
      </x:c>
      <x:c r="F184" s="3" t="str">
        <x:f>IF($D184="","",IFERROR(VLOOKUP($D184,Clinicas!$A$4:$R$205,4,FALSE),""))</x:f>
      </x:c>
      <x:c r="G184" s="3" t="str"/>
      <x:c r="H184" s="6" t="str"/>
      <x:c r="I184" s="3" t="str">
        <x:v>Confirmar</x:v>
      </x:c>
      <x:c r="J184" s="3" t="str"/>
      <x:c r="K184" s="3" t="str"/>
    </x:row>
    <x:row r="185">
      <x:c r="A185" s="3" t="str"/>
      <x:c r="B185" s="5"/>
      <x:c r="C185" s="5"/>
      <x:c r="D185" s="3" t="str"/>
      <x:c r="E185" s="3" t="str">
        <x:f>IF($D185="","",IFERROR(VLOOKUP($D185,Clinicas!$A$4:$R$205,2,FALSE),"ID nao cadastrado"))</x:f>
      </x:c>
      <x:c r="F185" s="3" t="str">
        <x:f>IF($D185="","",IFERROR(VLOOKUP($D185,Clinicas!$A$4:$R$205,4,FALSE),""))</x:f>
      </x:c>
      <x:c r="G185" s="3" t="str"/>
      <x:c r="H185" s="6" t="str"/>
      <x:c r="I185" s="3" t="str">
        <x:v>Confirmar</x:v>
      </x:c>
      <x:c r="J185" s="3" t="str"/>
      <x:c r="K185" s="3" t="str"/>
    </x:row>
    <x:row r="186">
      <x:c r="A186" s="3" t="str"/>
      <x:c r="B186" s="5"/>
      <x:c r="C186" s="5"/>
      <x:c r="D186" s="3" t="str"/>
      <x:c r="E186" s="3" t="str">
        <x:f>IF($D186="","",IFERROR(VLOOKUP($D186,Clinicas!$A$4:$R$205,2,FALSE),"ID nao cadastrado"))</x:f>
      </x:c>
      <x:c r="F186" s="3" t="str">
        <x:f>IF($D186="","",IFERROR(VLOOKUP($D186,Clinicas!$A$4:$R$205,4,FALSE),""))</x:f>
      </x:c>
      <x:c r="G186" s="3" t="str"/>
      <x:c r="H186" s="6" t="str"/>
      <x:c r="I186" s="3" t="str">
        <x:v>Confirmar</x:v>
      </x:c>
      <x:c r="J186" s="3" t="str"/>
      <x:c r="K186" s="3" t="str"/>
    </x:row>
    <x:row r="187">
      <x:c r="A187" s="3" t="str"/>
      <x:c r="B187" s="5"/>
      <x:c r="C187" s="5"/>
      <x:c r="D187" s="3" t="str"/>
      <x:c r="E187" s="3" t="str">
        <x:f>IF($D187="","",IFERROR(VLOOKUP($D187,Clinicas!$A$4:$R$205,2,FALSE),"ID nao cadastrado"))</x:f>
      </x:c>
      <x:c r="F187" s="3" t="str">
        <x:f>IF($D187="","",IFERROR(VLOOKUP($D187,Clinicas!$A$4:$R$205,4,FALSE),""))</x:f>
      </x:c>
      <x:c r="G187" s="3" t="str"/>
      <x:c r="H187" s="6" t="str"/>
      <x:c r="I187" s="3" t="str">
        <x:v>Confirmar</x:v>
      </x:c>
      <x:c r="J187" s="3" t="str"/>
      <x:c r="K187" s="3" t="str"/>
    </x:row>
    <x:row r="188">
      <x:c r="A188" s="3" t="str"/>
      <x:c r="B188" s="5"/>
      <x:c r="C188" s="5"/>
      <x:c r="D188" s="3" t="str"/>
      <x:c r="E188" s="3" t="str">
        <x:f>IF($D188="","",IFERROR(VLOOKUP($D188,Clinicas!$A$4:$R$205,2,FALSE),"ID nao cadastrado"))</x:f>
      </x:c>
      <x:c r="F188" s="3" t="str">
        <x:f>IF($D188="","",IFERROR(VLOOKUP($D188,Clinicas!$A$4:$R$205,4,FALSE),""))</x:f>
      </x:c>
      <x:c r="G188" s="3" t="str"/>
      <x:c r="H188" s="6" t="str"/>
      <x:c r="I188" s="3" t="str">
        <x:v>Confirmar</x:v>
      </x:c>
      <x:c r="J188" s="3" t="str"/>
      <x:c r="K188" s="3" t="str"/>
    </x:row>
    <x:row r="189">
      <x:c r="A189" s="3" t="str"/>
      <x:c r="B189" s="5"/>
      <x:c r="C189" s="5"/>
      <x:c r="D189" s="3" t="str"/>
      <x:c r="E189" s="3" t="str">
        <x:f>IF($D189="","",IFERROR(VLOOKUP($D189,Clinicas!$A$4:$R$205,2,FALSE),"ID nao cadastrado"))</x:f>
      </x:c>
      <x:c r="F189" s="3" t="str">
        <x:f>IF($D189="","",IFERROR(VLOOKUP($D189,Clinicas!$A$4:$R$205,4,FALSE),""))</x:f>
      </x:c>
      <x:c r="G189" s="3" t="str"/>
      <x:c r="H189" s="6" t="str"/>
      <x:c r="I189" s="3" t="str">
        <x:v>Confirmar</x:v>
      </x:c>
      <x:c r="J189" s="3" t="str"/>
      <x:c r="K189" s="3" t="str"/>
    </x:row>
    <x:row r="190">
      <x:c r="A190" s="3" t="str"/>
      <x:c r="B190" s="5"/>
      <x:c r="C190" s="5"/>
      <x:c r="D190" s="3" t="str"/>
      <x:c r="E190" s="3" t="str">
        <x:f>IF($D190="","",IFERROR(VLOOKUP($D190,Clinicas!$A$4:$R$205,2,FALSE),"ID nao cadastrado"))</x:f>
      </x:c>
      <x:c r="F190" s="3" t="str">
        <x:f>IF($D190="","",IFERROR(VLOOKUP($D190,Clinicas!$A$4:$R$205,4,FALSE),""))</x:f>
      </x:c>
      <x:c r="G190" s="3" t="str"/>
      <x:c r="H190" s="6" t="str"/>
      <x:c r="I190" s="3" t="str">
        <x:v>Confirmar</x:v>
      </x:c>
      <x:c r="J190" s="3" t="str"/>
      <x:c r="K190" s="3" t="str"/>
    </x:row>
    <x:row r="191">
      <x:c r="A191" s="3" t="str"/>
      <x:c r="B191" s="5"/>
      <x:c r="C191" s="5"/>
      <x:c r="D191" s="3" t="str"/>
      <x:c r="E191" s="3" t="str">
        <x:f>IF($D191="","",IFERROR(VLOOKUP($D191,Clinicas!$A$4:$R$205,2,FALSE),"ID nao cadastrado"))</x:f>
      </x:c>
      <x:c r="F191" s="3" t="str">
        <x:f>IF($D191="","",IFERROR(VLOOKUP($D191,Clinicas!$A$4:$R$205,4,FALSE),""))</x:f>
      </x:c>
      <x:c r="G191" s="3" t="str"/>
      <x:c r="H191" s="6" t="str"/>
      <x:c r="I191" s="3" t="str">
        <x:v>Confirmar</x:v>
      </x:c>
      <x:c r="J191" s="3" t="str"/>
      <x:c r="K191" s="3" t="str"/>
    </x:row>
    <x:row r="192">
      <x:c r="A192" s="3" t="str"/>
      <x:c r="B192" s="5"/>
      <x:c r="C192" s="5"/>
      <x:c r="D192" s="3" t="str"/>
      <x:c r="E192" s="3" t="str">
        <x:f>IF($D192="","",IFERROR(VLOOKUP($D192,Clinicas!$A$4:$R$205,2,FALSE),"ID nao cadastrado"))</x:f>
      </x:c>
      <x:c r="F192" s="3" t="str">
        <x:f>IF($D192="","",IFERROR(VLOOKUP($D192,Clinicas!$A$4:$R$205,4,FALSE),""))</x:f>
      </x:c>
      <x:c r="G192" s="3" t="str"/>
      <x:c r="H192" s="6" t="str"/>
      <x:c r="I192" s="3" t="str">
        <x:v>Confirmar</x:v>
      </x:c>
      <x:c r="J192" s="3" t="str"/>
      <x:c r="K192" s="3" t="str"/>
    </x:row>
    <x:row r="193">
      <x:c r="A193" s="3" t="str"/>
      <x:c r="B193" s="5"/>
      <x:c r="C193" s="5"/>
      <x:c r="D193" s="3" t="str"/>
      <x:c r="E193" s="3" t="str">
        <x:f>IF($D193="","",IFERROR(VLOOKUP($D193,Clinicas!$A$4:$R$205,2,FALSE),"ID nao cadastrado"))</x:f>
      </x:c>
      <x:c r="F193" s="3" t="str">
        <x:f>IF($D193="","",IFERROR(VLOOKUP($D193,Clinicas!$A$4:$R$205,4,FALSE),""))</x:f>
      </x:c>
      <x:c r="G193" s="3" t="str"/>
      <x:c r="H193" s="6" t="str"/>
      <x:c r="I193" s="3" t="str">
        <x:v>Confirmar</x:v>
      </x:c>
      <x:c r="J193" s="3" t="str"/>
      <x:c r="K193" s="3" t="str"/>
    </x:row>
    <x:row r="194">
      <x:c r="A194" s="3" t="str"/>
      <x:c r="B194" s="5"/>
      <x:c r="C194" s="5"/>
      <x:c r="D194" s="3" t="str"/>
      <x:c r="E194" s="3" t="str">
        <x:f>IF($D194="","",IFERROR(VLOOKUP($D194,Clinicas!$A$4:$R$205,2,FALSE),"ID nao cadastrado"))</x:f>
      </x:c>
      <x:c r="F194" s="3" t="str">
        <x:f>IF($D194="","",IFERROR(VLOOKUP($D194,Clinicas!$A$4:$R$205,4,FALSE),""))</x:f>
      </x:c>
      <x:c r="G194" s="3" t="str"/>
      <x:c r="H194" s="6" t="str"/>
      <x:c r="I194" s="3" t="str">
        <x:v>Confirmar</x:v>
      </x:c>
      <x:c r="J194" s="3" t="str"/>
      <x:c r="K194" s="3" t="str"/>
    </x:row>
    <x:row r="195">
      <x:c r="A195" s="3" t="str"/>
      <x:c r="B195" s="5"/>
      <x:c r="C195" s="5"/>
      <x:c r="D195" s="3" t="str"/>
      <x:c r="E195" s="3" t="str">
        <x:f>IF($D195="","",IFERROR(VLOOKUP($D195,Clinicas!$A$4:$R$205,2,FALSE),"ID nao cadastrado"))</x:f>
      </x:c>
      <x:c r="F195" s="3" t="str">
        <x:f>IF($D195="","",IFERROR(VLOOKUP($D195,Clinicas!$A$4:$R$205,4,FALSE),""))</x:f>
      </x:c>
      <x:c r="G195" s="3" t="str"/>
      <x:c r="H195" s="6" t="str"/>
      <x:c r="I195" s="3" t="str">
        <x:v>Confirmar</x:v>
      </x:c>
      <x:c r="J195" s="3" t="str"/>
      <x:c r="K195" s="3" t="str"/>
    </x:row>
    <x:row r="196">
      <x:c r="A196" s="3" t="str"/>
      <x:c r="B196" s="5"/>
      <x:c r="C196" s="5"/>
      <x:c r="D196" s="3" t="str"/>
      <x:c r="E196" s="3" t="str">
        <x:f>IF($D196="","",IFERROR(VLOOKUP($D196,Clinicas!$A$4:$R$205,2,FALSE),"ID nao cadastrado"))</x:f>
      </x:c>
      <x:c r="F196" s="3" t="str">
        <x:f>IF($D196="","",IFERROR(VLOOKUP($D196,Clinicas!$A$4:$R$205,4,FALSE),""))</x:f>
      </x:c>
      <x:c r="G196" s="3" t="str"/>
      <x:c r="H196" s="6" t="str"/>
      <x:c r="I196" s="3" t="str">
        <x:v>Confirmar</x:v>
      </x:c>
      <x:c r="J196" s="3" t="str"/>
      <x:c r="K196" s="3" t="str"/>
    </x:row>
    <x:row r="197">
      <x:c r="A197" s="3" t="str"/>
      <x:c r="B197" s="5"/>
      <x:c r="C197" s="5"/>
      <x:c r="D197" s="3" t="str"/>
      <x:c r="E197" s="3" t="str">
        <x:f>IF($D197="","",IFERROR(VLOOKUP($D197,Clinicas!$A$4:$R$205,2,FALSE),"ID nao cadastrado"))</x:f>
      </x:c>
      <x:c r="F197" s="3" t="str">
        <x:f>IF($D197="","",IFERROR(VLOOKUP($D197,Clinicas!$A$4:$R$205,4,FALSE),""))</x:f>
      </x:c>
      <x:c r="G197" s="3" t="str"/>
      <x:c r="H197" s="6" t="str"/>
      <x:c r="I197" s="3" t="str">
        <x:v>Confirmar</x:v>
      </x:c>
      <x:c r="J197" s="3" t="str"/>
      <x:c r="K197" s="3" t="str"/>
    </x:row>
    <x:row r="198">
      <x:c r="A198" s="3" t="str"/>
      <x:c r="B198" s="5"/>
      <x:c r="C198" s="5"/>
      <x:c r="D198" s="3" t="str"/>
      <x:c r="E198" s="3" t="str">
        <x:f>IF($D198="","",IFERROR(VLOOKUP($D198,Clinicas!$A$4:$R$205,2,FALSE),"ID nao cadastrado"))</x:f>
      </x:c>
      <x:c r="F198" s="3" t="str">
        <x:f>IF($D198="","",IFERROR(VLOOKUP($D198,Clinicas!$A$4:$R$205,4,FALSE),""))</x:f>
      </x:c>
      <x:c r="G198" s="3" t="str"/>
      <x:c r="H198" s="6" t="str"/>
      <x:c r="I198" s="3" t="str">
        <x:v>Confirmar</x:v>
      </x:c>
      <x:c r="J198" s="3" t="str"/>
      <x:c r="K198" s="3" t="str"/>
    </x:row>
    <x:row r="199">
      <x:c r="A199" s="3" t="str"/>
      <x:c r="B199" s="5"/>
      <x:c r="C199" s="5"/>
      <x:c r="D199" s="3" t="str"/>
      <x:c r="E199" s="3" t="str">
        <x:f>IF($D199="","",IFERROR(VLOOKUP($D199,Clinicas!$A$4:$R$205,2,FALSE),"ID nao cadastrado"))</x:f>
      </x:c>
      <x:c r="F199" s="3" t="str">
        <x:f>IF($D199="","",IFERROR(VLOOKUP($D199,Clinicas!$A$4:$R$205,4,FALSE),""))</x:f>
      </x:c>
      <x:c r="G199" s="3" t="str"/>
      <x:c r="H199" s="6" t="str"/>
      <x:c r="I199" s="3" t="str">
        <x:v>Confirmar</x:v>
      </x:c>
      <x:c r="J199" s="3" t="str"/>
      <x:c r="K199" s="3" t="str"/>
    </x:row>
    <x:row r="200">
      <x:c r="A200" s="3" t="str"/>
      <x:c r="B200" s="5"/>
      <x:c r="C200" s="5"/>
      <x:c r="D200" s="3" t="str"/>
      <x:c r="E200" s="3" t="str">
        <x:f>IF($D200="","",IFERROR(VLOOKUP($D200,Clinicas!$A$4:$R$205,2,FALSE),"ID nao cadastrado"))</x:f>
      </x:c>
      <x:c r="F200" s="3" t="str">
        <x:f>IF($D200="","",IFERROR(VLOOKUP($D200,Clinicas!$A$4:$R$205,4,FALSE),""))</x:f>
      </x:c>
      <x:c r="G200" s="3" t="str"/>
      <x:c r="H200" s="6" t="str"/>
      <x:c r="I200" s="3" t="str">
        <x:v>Confirmar</x:v>
      </x:c>
      <x:c r="J200" s="3" t="str"/>
      <x:c r="K200" s="3" t="str"/>
    </x:row>
    <x:row r="201">
      <x:c r="A201" s="3" t="str"/>
      <x:c r="B201" s="5"/>
      <x:c r="C201" s="5"/>
      <x:c r="D201" s="3" t="str"/>
      <x:c r="E201" s="3" t="str">
        <x:f>IF($D201="","",IFERROR(VLOOKUP($D201,Clinicas!$A$4:$R$205,2,FALSE),"ID nao cadastrado"))</x:f>
      </x:c>
      <x:c r="F201" s="3" t="str">
        <x:f>IF($D201="","",IFERROR(VLOOKUP($D201,Clinicas!$A$4:$R$205,4,FALSE),""))</x:f>
      </x:c>
      <x:c r="G201" s="3" t="str"/>
      <x:c r="H201" s="6" t="str"/>
      <x:c r="I201" s="3" t="str">
        <x:v>Confirmar</x:v>
      </x:c>
      <x:c r="J201" s="3" t="str"/>
      <x:c r="K201" s="3" t="str"/>
    </x:row>
    <x:row r="202">
      <x:c r="A202" s="3" t="str"/>
      <x:c r="B202" s="5"/>
      <x:c r="C202" s="5"/>
      <x:c r="D202" s="3" t="str"/>
      <x:c r="E202" s="3" t="str">
        <x:f>IF($D202="","",IFERROR(VLOOKUP($D202,Clinicas!$A$4:$R$205,2,FALSE),"ID nao cadastrado"))</x:f>
      </x:c>
      <x:c r="F202" s="3" t="str">
        <x:f>IF($D202="","",IFERROR(VLOOKUP($D202,Clinicas!$A$4:$R$205,4,FALSE),""))</x:f>
      </x:c>
      <x:c r="G202" s="3" t="str"/>
      <x:c r="H202" s="6" t="str"/>
      <x:c r="I202" s="3" t="str">
        <x:v>Confirmar</x:v>
      </x:c>
      <x:c r="J202" s="3" t="str"/>
      <x:c r="K202" s="3" t="str"/>
    </x:row>
    <x:row r="203">
      <x:c r="A203" s="3" t="str"/>
      <x:c r="B203" s="5"/>
      <x:c r="C203" s="5"/>
      <x:c r="D203" s="3" t="str"/>
      <x:c r="E203" s="3" t="str">
        <x:f>IF($D203="","",IFERROR(VLOOKUP($D203,Clinicas!$A$4:$R$205,2,FALSE),"ID nao cadastrado"))</x:f>
      </x:c>
      <x:c r="F203" s="3" t="str">
        <x:f>IF($D203="","",IFERROR(VLOOKUP($D203,Clinicas!$A$4:$R$205,4,FALSE),""))</x:f>
      </x:c>
      <x:c r="G203" s="3" t="str"/>
      <x:c r="H203" s="6" t="str"/>
      <x:c r="I203" s="3" t="str">
        <x:v>Confirmar</x:v>
      </x:c>
      <x:c r="J203" s="3" t="str"/>
      <x:c r="K203" s="3" t="str"/>
    </x:row>
    <x:row r="204">
      <x:c r="A204" s="3" t="str"/>
      <x:c r="B204" s="5"/>
      <x:c r="C204" s="5"/>
      <x:c r="D204" s="3" t="str"/>
      <x:c r="E204" s="3" t="str">
        <x:f>IF($D204="","",IFERROR(VLOOKUP($D204,Clinicas!$A$4:$R$205,2,FALSE),"ID nao cadastrado"))</x:f>
      </x:c>
      <x:c r="F204" s="3" t="str">
        <x:f>IF($D204="","",IFERROR(VLOOKUP($D204,Clinicas!$A$4:$R$205,4,FALSE),""))</x:f>
      </x:c>
      <x:c r="G204" s="3" t="str"/>
      <x:c r="H204" s="6" t="str"/>
      <x:c r="I204" s="3" t="str">
        <x:v>Confirmar</x:v>
      </x:c>
      <x:c r="J204" s="3" t="str"/>
      <x:c r="K204" s="3" t="str"/>
    </x:row>
    <x:row r="205">
      <x:c r="A205" s="3" t="str"/>
      <x:c r="B205" s="5"/>
      <x:c r="C205" s="5"/>
      <x:c r="D205" s="3" t="str"/>
      <x:c r="E205" s="3" t="str">
        <x:f>IF($D205="","",IFERROR(VLOOKUP($D205,Clinicas!$A$4:$R$205,2,FALSE),"ID nao cadastrado"))</x:f>
      </x:c>
      <x:c r="F205" s="3" t="str">
        <x:f>IF($D205="","",IFERROR(VLOOKUP($D205,Clinicas!$A$4:$R$205,4,FALSE),""))</x:f>
      </x:c>
      <x:c r="G205" s="3" t="str"/>
      <x:c r="H205" s="6" t="str"/>
      <x:c r="I205" s="3" t="str">
        <x:v>Confirmar</x:v>
      </x:c>
      <x:c r="J205" s="3" t="str"/>
      <x:c r="K205" s="3" t="str"/>
    </x:row>
  </x:sheetData>
  <x:mergeCells>
    <x:mergeCell ref="A1:K1"/>
  </x:mergeCells>
  <x:dataValidations count="3">
    <x:dataValidation type="list" sqref="D4:D205">
      <x:formula1>Clinicas!$A$4:$A$205</x:formula1>
    </x:dataValidation>
    <x:dataValidation type="list" sqref="I4:I205">
      <x:formula1>"Confirmar,Nao,Sim"</x:formula1>
    </x:dataValidation>
    <x:dataValidation type="list" sqref="J4:J205">
      <x:formula1>"Emitida,Cancelada,Substituida"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73f5d989284422"/>
  </x:tableParts>
</x:worksheet>
</file>